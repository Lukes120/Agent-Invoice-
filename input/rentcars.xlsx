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ranalletta\Documents\AGENT FATTURAZIONE PASSIVA\odoo_invoice_agent\input\"/>
    </mc:Choice>
  </mc:AlternateContent>
  <xr:revisionPtr revIDLastSave="0" documentId="13_ncr:1_{5325766F-509C-476E-A74E-001EDE27ECA4}" xr6:coauthVersionLast="47" xr6:coauthVersionMax="47" xr10:uidLastSave="{00000000-0000-0000-0000-000000000000}"/>
  <bookViews>
    <workbookView xWindow="-120" yWindow="-120" windowWidth="23280" windowHeight="12270" xr2:uid="{00000000-000D-0000-FFFF-FFFF00000000}"/>
  </bookViews>
  <sheets>
    <sheet name="Parco Auto" sheetId="1" r:id="rId1"/>
  </sheets>
  <definedNames>
    <definedName name="_xlnm._FilterDatabase" localSheetId="0" hidden="1">'Parco Auto'!$A$1:$X$67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F67" i="1"/>
  <c r="F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Alessandra Curci</author>
  </authors>
  <commentList>
    <comment ref="J50" authorId="0" shapeId="0" xr:uid="{6F7155DD-CDD5-4EAE-A6D9-D192EFFA706C}">
      <text>
        <r>
          <rPr>
            <b/>
            <sz val="9"/>
            <color indexed="81"/>
            <rFont val="Tahoma"/>
            <family val="2"/>
          </rPr>
          <t>Alessandra Curci:</t>
        </r>
        <r>
          <rPr>
            <sz val="9"/>
            <color indexed="81"/>
            <rFont val="Tahoma"/>
            <family val="2"/>
          </rPr>
          <t xml:space="preserve">
ID Ordine</t>
        </r>
      </text>
    </comment>
    <comment ref="F59" authorId="0" shapeId="0" xr:uid="{D1B53F7A-1BEA-4C3F-8872-9DF50FAFC0D0}">
      <text>
        <r>
          <rPr>
            <b/>
            <sz val="9"/>
            <color indexed="81"/>
            <rFont val="Tahoma"/>
            <family val="2"/>
          </rPr>
          <t>Alessandra Curci:</t>
        </r>
        <r>
          <rPr>
            <sz val="9"/>
            <color indexed="81"/>
            <rFont val="Tahoma"/>
            <family val="2"/>
          </rPr>
          <t xml:space="preserve">
2.500 km al mese</t>
        </r>
      </text>
    </comment>
    <comment ref="J67" authorId="0" shapeId="0" xr:uid="{3C9900CB-7FBD-42D9-BC1A-BA3CBE8852AB}">
      <text>
        <r>
          <rPr>
            <b/>
            <sz val="9"/>
            <color indexed="81"/>
            <rFont val="Tahoma"/>
            <family val="2"/>
          </rPr>
          <t>Alessandra Curci:</t>
        </r>
        <r>
          <rPr>
            <sz val="9"/>
            <color indexed="81"/>
            <rFont val="Tahoma"/>
            <family val="2"/>
          </rPr>
          <t xml:space="preserve">
N° Ordine</t>
        </r>
      </text>
    </comment>
  </commentList>
</comments>
</file>

<file path=xl/sharedStrings.xml><?xml version="1.0" encoding="utf-8"?>
<sst xmlns="http://schemas.openxmlformats.org/spreadsheetml/2006/main" count="674" uniqueCount="522">
  <si>
    <t>N°</t>
  </si>
  <si>
    <t>PROPRIETÀ</t>
  </si>
  <si>
    <t>TARGA</t>
  </si>
  <si>
    <t>MODELLO</t>
  </si>
  <si>
    <t>KM TOTALI</t>
  </si>
  <si>
    <t>FRANCHIGIA KM</t>
  </si>
  <si>
    <t>POOL</t>
  </si>
  <si>
    <t>USO PROMISCUO</t>
  </si>
  <si>
    <t>Numero CONTRATTO</t>
  </si>
  <si>
    <t>DATA INIZIO CONTRATTO</t>
  </si>
  <si>
    <t>DATA FINE CONTRATTO</t>
  </si>
  <si>
    <t>Doppioni chiavi</t>
  </si>
  <si>
    <t>CARD UTA</t>
  </si>
  <si>
    <t>Nome Virtuale UTA</t>
  </si>
  <si>
    <t>PIN UTA</t>
  </si>
  <si>
    <t>CARTE ENI</t>
  </si>
  <si>
    <t>PIN ENI</t>
  </si>
  <si>
    <t>N° Telepass</t>
  </si>
  <si>
    <t>N° Contratto Telepass</t>
  </si>
  <si>
    <t>N° Telepass nuovo</t>
  </si>
  <si>
    <t>VIACARD</t>
  </si>
  <si>
    <t>NOTE</t>
  </si>
  <si>
    <t>1</t>
  </si>
  <si>
    <t>GK683BC</t>
  </si>
  <si>
    <t>CITROEN C5 AIRCROSS</t>
  </si>
  <si>
    <t>100000</t>
  </si>
  <si>
    <t>Stefano Galeassi</t>
  </si>
  <si>
    <t>522375-3</t>
  </si>
  <si>
    <t>63620050421846836 - GK683BC</t>
  </si>
  <si>
    <t>9816</t>
  </si>
  <si>
    <t>305876526</t>
  </si>
  <si>
    <t>2</t>
  </si>
  <si>
    <t>LEASYS</t>
  </si>
  <si>
    <t>GL898ZH</t>
  </si>
  <si>
    <t>FIAT PANDA  HYBRID 1.0</t>
  </si>
  <si>
    <t>ADR - Presidio Ciampino</t>
  </si>
  <si>
    <t>1202328386</t>
  </si>
  <si>
    <t>ufficio</t>
  </si>
  <si>
    <t>636200 504214 82129 FURGONE 4</t>
  </si>
  <si>
    <t>4752</t>
  </si>
  <si>
    <t>490950197772</t>
  </si>
  <si>
    <t>217718183</t>
  </si>
  <si>
    <t>3</t>
  </si>
  <si>
    <t>GM287NK</t>
  </si>
  <si>
    <t>LANCIA Y4 Hybrid</t>
  </si>
  <si>
    <t>A DISPOSIZIONE DELLE BU</t>
  </si>
  <si>
    <t>1202328384</t>
  </si>
  <si>
    <t>420270557275</t>
  </si>
  <si>
    <t>216875601</t>
  </si>
  <si>
    <t>4</t>
  </si>
  <si>
    <t>TECNOALT</t>
  </si>
  <si>
    <t>GL999BT</t>
  </si>
  <si>
    <t>NISSAN TOWNSTAR (FURGONE)</t>
  </si>
  <si>
    <t>ADR - Presidio Fiumicino</t>
  </si>
  <si>
    <t>693944</t>
  </si>
  <si>
    <t>noleggiatore</t>
  </si>
  <si>
    <t>636200 504214 82103 FURGONE 1</t>
  </si>
  <si>
    <t>1550</t>
  </si>
  <si>
    <t>5</t>
  </si>
  <si>
    <t>GM637FW</t>
  </si>
  <si>
    <t>JEEP RENEGADE 1.6 Mjet</t>
  </si>
  <si>
    <t>Giovanni Samà</t>
  </si>
  <si>
    <t>1202328385</t>
  </si>
  <si>
    <t>63620050425166520 ECOTEL 14</t>
  </si>
  <si>
    <t>6854</t>
  </si>
  <si>
    <t>305908402</t>
  </si>
  <si>
    <t>6</t>
  </si>
  <si>
    <t>GN915GX</t>
  </si>
  <si>
    <t>FIAT DUCATO</t>
  </si>
  <si>
    <t>CABLING</t>
  </si>
  <si>
    <t>1202441736</t>
  </si>
  <si>
    <t>63620050421481949 FY403PR</t>
  </si>
  <si>
    <t>ECOTEL 30</t>
  </si>
  <si>
    <t>1399</t>
  </si>
  <si>
    <t>305876658</t>
  </si>
  <si>
    <t>7</t>
  </si>
  <si>
    <t>GN267CW</t>
  </si>
  <si>
    <t>1202448148</t>
  </si>
  <si>
    <t>63620050421482012 - FY402PR</t>
  </si>
  <si>
    <t>ECOTEL 27</t>
  </si>
  <si>
    <t>7569</t>
  </si>
  <si>
    <t>305908493</t>
  </si>
  <si>
    <t>8</t>
  </si>
  <si>
    <t>GN985WN</t>
  </si>
  <si>
    <t>1202442109</t>
  </si>
  <si>
    <t>636200504214 82160 - FS525MF</t>
  </si>
  <si>
    <t>ECOTEL 28</t>
  </si>
  <si>
    <t>4612</t>
  </si>
  <si>
    <t>305876450</t>
  </si>
  <si>
    <t>9</t>
  </si>
  <si>
    <t>GM112NK</t>
  </si>
  <si>
    <t>5G</t>
  </si>
  <si>
    <t>1202336169</t>
  </si>
  <si>
    <t>63620050421482152 - FR493SF</t>
  </si>
  <si>
    <t>ECOTEL 29</t>
  </si>
  <si>
    <t>9746</t>
  </si>
  <si>
    <t>975920398</t>
  </si>
  <si>
    <t>10</t>
  </si>
  <si>
    <t>GP641KX</t>
  </si>
  <si>
    <t>FIAT DUCATO 3 EASY PRO 2.2</t>
  </si>
  <si>
    <t>1202528508</t>
  </si>
  <si>
    <t>63620050421482111 - GD219AV</t>
  </si>
  <si>
    <t>FURGONE 14</t>
  </si>
  <si>
    <t>7715</t>
  </si>
  <si>
    <t>1007908344</t>
  </si>
  <si>
    <t>11</t>
  </si>
  <si>
    <t>GM211WK</t>
  </si>
  <si>
    <t>1202574739</t>
  </si>
  <si>
    <t>63620050421645212 - FURGONE 9</t>
  </si>
  <si>
    <t>8298</t>
  </si>
  <si>
    <t>490285642252</t>
  </si>
  <si>
    <t>12</t>
  </si>
  <si>
    <t>GM066DD</t>
  </si>
  <si>
    <t>VOLKSWAGEN T-ROC</t>
  </si>
  <si>
    <t>Antonio Giovannone</t>
  </si>
  <si>
    <t>1202630176</t>
  </si>
  <si>
    <t>63620050421481923 - FX364RA</t>
  </si>
  <si>
    <t>7470</t>
  </si>
  <si>
    <t>285870531</t>
  </si>
  <si>
    <t>13</t>
  </si>
  <si>
    <t>GR402RX</t>
  </si>
  <si>
    <t>1202336013</t>
  </si>
  <si>
    <t>63620050421481956 - FX911PX</t>
  </si>
  <si>
    <t>FURGONE 11</t>
  </si>
  <si>
    <t>1084</t>
  </si>
  <si>
    <t>490292762283</t>
  </si>
  <si>
    <t>14</t>
  </si>
  <si>
    <t>GR409RX</t>
  </si>
  <si>
    <t>CABLING - Fabrizio Cardelli</t>
  </si>
  <si>
    <t>1202336162</t>
  </si>
  <si>
    <t>63620050421481931 - FURGONE 2</t>
  </si>
  <si>
    <t>0500</t>
  </si>
  <si>
    <t>15</t>
  </si>
  <si>
    <t>GN780EW</t>
  </si>
  <si>
    <t>Paolo Baracca</t>
  </si>
  <si>
    <t>1202706731</t>
  </si>
  <si>
    <t>63620050421482137 - GE324CL</t>
  </si>
  <si>
    <t>9688</t>
  </si>
  <si>
    <t>307886804</t>
  </si>
  <si>
    <t>16</t>
  </si>
  <si>
    <t>GP642XH</t>
  </si>
  <si>
    <t>CTE VAN FT 121 con cestello RENAULT</t>
  </si>
  <si>
    <t>817236</t>
  </si>
  <si>
    <t>17</t>
  </si>
  <si>
    <t>GP617XJ</t>
  </si>
  <si>
    <t>PEUGEOT 2008</t>
  </si>
  <si>
    <t>Alessandro Falcionelli</t>
  </si>
  <si>
    <t>1202707486</t>
  </si>
  <si>
    <t>63620050421481964 - GA844XW</t>
  </si>
  <si>
    <t>2777</t>
  </si>
  <si>
    <t>490286611587</t>
  </si>
  <si>
    <t>261713569</t>
  </si>
  <si>
    <t>18</t>
  </si>
  <si>
    <t>GR764LY</t>
  </si>
  <si>
    <t>1202759002</t>
  </si>
  <si>
    <t>63620050421482095 - FURGONE 5</t>
  </si>
  <si>
    <t>8147</t>
  </si>
  <si>
    <t>490286352315</t>
  </si>
  <si>
    <t>19</t>
  </si>
  <si>
    <t>GR137HC</t>
  </si>
  <si>
    <t>1104188408</t>
  </si>
  <si>
    <t>63620050422777998 - ECOTEL 2</t>
  </si>
  <si>
    <t>2090</t>
  </si>
  <si>
    <t>291857324</t>
  </si>
  <si>
    <t>20</t>
  </si>
  <si>
    <t>GN550NJ</t>
  </si>
  <si>
    <t>FIAT 500 X</t>
  </si>
  <si>
    <t>1202848044</t>
  </si>
  <si>
    <t>63620050422777980 - ECOTEL 3</t>
  </si>
  <si>
    <t>6980</t>
  </si>
  <si>
    <t>490292714227</t>
  </si>
  <si>
    <t>21</t>
  </si>
  <si>
    <t>GS675LK</t>
  </si>
  <si>
    <t>1202879975</t>
  </si>
  <si>
    <t>63620050422777691 ECOTEL 5</t>
  </si>
  <si>
    <t>5989</t>
  </si>
  <si>
    <t>22</t>
  </si>
  <si>
    <t>ATHLON</t>
  </si>
  <si>
    <t>GW950EK</t>
  </si>
  <si>
    <t>BMW X4 hybrid 20d</t>
  </si>
  <si>
    <t>Agostino Bruno</t>
  </si>
  <si>
    <t>787617</t>
  </si>
  <si>
    <t>63620050421481980 - GE929SH</t>
  </si>
  <si>
    <t>4552</t>
  </si>
  <si>
    <t>490290878933</t>
  </si>
  <si>
    <t>23</t>
  </si>
  <si>
    <t>UNIPOL RENTAL</t>
  </si>
  <si>
    <t>GP902BG</t>
  </si>
  <si>
    <t>636200 504214 82087 - GB930GY</t>
  </si>
  <si>
    <t>ECOTEL 7</t>
  </si>
  <si>
    <t>8726</t>
  </si>
  <si>
    <t>956047799</t>
  </si>
  <si>
    <t>24</t>
  </si>
  <si>
    <t>GV030VF</t>
  </si>
  <si>
    <t>PEUGEOT BOXER</t>
  </si>
  <si>
    <t>1202883781</t>
  </si>
  <si>
    <t>63620050422777717 ECOTEL 6</t>
  </si>
  <si>
    <t>4539</t>
  </si>
  <si>
    <t>305904716</t>
  </si>
  <si>
    <t>25</t>
  </si>
  <si>
    <t>GW995RP</t>
  </si>
  <si>
    <t>ALFA ROMEO JUNIOR Ibrida 1.2</t>
  </si>
  <si>
    <t>Roberto Galluzzi</t>
  </si>
  <si>
    <t>1203082510</t>
  </si>
  <si>
    <t>63620050421482004 - GE232XG</t>
  </si>
  <si>
    <t>3016</t>
  </si>
  <si>
    <t>995280138</t>
  </si>
  <si>
    <t>26</t>
  </si>
  <si>
    <t>GW656NM</t>
  </si>
  <si>
    <t>Luca Bramonti</t>
  </si>
  <si>
    <t>1203230656</t>
  </si>
  <si>
    <t>63620050425037028 ECOTEL 13</t>
  </si>
  <si>
    <t>7979</t>
  </si>
  <si>
    <t>305876468</t>
  </si>
  <si>
    <t>27</t>
  </si>
  <si>
    <t>GT453FN</t>
  </si>
  <si>
    <t>VAN INTERSTAR</t>
  </si>
  <si>
    <t>839810</t>
  </si>
  <si>
    <t>28</t>
  </si>
  <si>
    <t>GX338PH</t>
  </si>
  <si>
    <t>DS 7 Blue HDI 130 Automatica Pallas 5D Sport</t>
  </si>
  <si>
    <t>Cristian Selvaggio</t>
  </si>
  <si>
    <t>1203255945</t>
  </si>
  <si>
    <t>63620050421481915 - FURGONE 6</t>
  </si>
  <si>
    <t>8449</t>
  </si>
  <si>
    <t>'972699706</t>
  </si>
  <si>
    <t>29</t>
  </si>
  <si>
    <t>GW302JA</t>
  </si>
  <si>
    <t>Magazzino</t>
  </si>
  <si>
    <t>63620050425166140 - ECOTEL 15</t>
  </si>
  <si>
    <t>3589</t>
  </si>
  <si>
    <t>30</t>
  </si>
  <si>
    <t>GX908LD</t>
  </si>
  <si>
    <t>ADR</t>
  </si>
  <si>
    <t>1203277203</t>
  </si>
  <si>
    <t>63620050425253856 - ECOTEL 17</t>
  </si>
  <si>
    <t>2719</t>
  </si>
  <si>
    <t>420275309656</t>
  </si>
  <si>
    <t>31</t>
  </si>
  <si>
    <t>GW788RR</t>
  </si>
  <si>
    <t>Fabrizio Santarelli</t>
  </si>
  <si>
    <t>1203226531</t>
  </si>
  <si>
    <t>Santarelli</t>
  </si>
  <si>
    <t>63620050425253492 ECOTEL 16</t>
  </si>
  <si>
    <t>4447</t>
  </si>
  <si>
    <t>305876377</t>
  </si>
  <si>
    <t>32</t>
  </si>
  <si>
    <t>GW475XS</t>
  </si>
  <si>
    <t>DISPOSIZIONE BU</t>
  </si>
  <si>
    <t>1203278734</t>
  </si>
  <si>
    <t>63620050425322644 ECOTEL 18</t>
  </si>
  <si>
    <t>2094</t>
  </si>
  <si>
    <t>La scheda '636200 504214 82103 (FURGONE 1) assegnata al DUCATO HA035DD è danneggiata La 63620050425322644 ECOTEL 18 del PEUGEOT BOXER GW475XS viene spostata sul DUCATO HA035DD</t>
  </si>
  <si>
    <t>33</t>
  </si>
  <si>
    <t>GW934RP</t>
  </si>
  <si>
    <t>1203305186</t>
  </si>
  <si>
    <t>63620050425322941 ECOTEL 21</t>
  </si>
  <si>
    <t>5401</t>
  </si>
  <si>
    <t>34</t>
  </si>
  <si>
    <t>GW938RP</t>
  </si>
  <si>
    <t>1203314507</t>
  </si>
  <si>
    <t>63620050425322651 ECOTEL 20</t>
  </si>
  <si>
    <t>1204</t>
  </si>
  <si>
    <t>305734873</t>
  </si>
  <si>
    <t>35</t>
  </si>
  <si>
    <t>LEASEPLAN</t>
  </si>
  <si>
    <t>GX358YF</t>
  </si>
  <si>
    <t>MERCEDES GLC</t>
  </si>
  <si>
    <t>Francesco Speciale</t>
  </si>
  <si>
    <t>6082374</t>
  </si>
  <si>
    <t>63620050425036665 ECOTEL 12</t>
  </si>
  <si>
    <t>5868</t>
  </si>
  <si>
    <t>305836348</t>
  </si>
  <si>
    <t>36</t>
  </si>
  <si>
    <t>GZ214VZ</t>
  </si>
  <si>
    <t>JEEP Avenger Hybrid</t>
  </si>
  <si>
    <t>1203589442</t>
  </si>
  <si>
    <t>63620050425725143 GZ214VZ</t>
  </si>
  <si>
    <t>8777</t>
  </si>
  <si>
    <t>305876286</t>
  </si>
  <si>
    <t>Ex auto di Di Bari Dal giorno 30/03/2026 in pool (a disposizione)</t>
  </si>
  <si>
    <t>37</t>
  </si>
  <si>
    <t>GZ985VY</t>
  </si>
  <si>
    <t>Sergio Sposi</t>
  </si>
  <si>
    <t>1203584760</t>
  </si>
  <si>
    <t>Sposi</t>
  </si>
  <si>
    <t>63620050425725135 GZ985VY</t>
  </si>
  <si>
    <t>3282</t>
  </si>
  <si>
    <t>305835175</t>
  </si>
  <si>
    <t>38</t>
  </si>
  <si>
    <t>ARVAL</t>
  </si>
  <si>
    <t>GV342RW</t>
  </si>
  <si>
    <t>TOYOTA Yaris - Cross</t>
  </si>
  <si>
    <t>David Centioni</t>
  </si>
  <si>
    <t>12563481/1</t>
  </si>
  <si>
    <t>Centioni</t>
  </si>
  <si>
    <t>63620050425725127 GV342RW</t>
  </si>
  <si>
    <t>3630</t>
  </si>
  <si>
    <t>305908428</t>
  </si>
  <si>
    <t>39</t>
  </si>
  <si>
    <t>GZ947ZN</t>
  </si>
  <si>
    <t>Peugeot 3008 Hybrid</t>
  </si>
  <si>
    <t>Marco Bonanni</t>
  </si>
  <si>
    <t>1203581816</t>
  </si>
  <si>
    <t>Bonanni</t>
  </si>
  <si>
    <t>63620050425724906 GZ947ZN</t>
  </si>
  <si>
    <t>7698</t>
  </si>
  <si>
    <t>305835266</t>
  </si>
  <si>
    <t>40</t>
  </si>
  <si>
    <t>GZ954ZN</t>
  </si>
  <si>
    <t>Alessandra Curci</t>
  </si>
  <si>
    <t>1203581031</t>
  </si>
  <si>
    <t>Curci</t>
  </si>
  <si>
    <t>63620050425724898 GZ954ZN</t>
  </si>
  <si>
    <t>9970</t>
  </si>
  <si>
    <t>305908410</t>
  </si>
  <si>
    <t>41</t>
  </si>
  <si>
    <t>HA035DD</t>
  </si>
  <si>
    <t>1203685711</t>
  </si>
  <si>
    <t>636200 504214 82103 - FURGONE 1 danneggiata</t>
  </si>
  <si>
    <t>305828709</t>
  </si>
  <si>
    <t>42</t>
  </si>
  <si>
    <t>HA220JR</t>
  </si>
  <si>
    <t>Jorge Cebreros Perez</t>
  </si>
  <si>
    <t>1203591159</t>
  </si>
  <si>
    <t>63620050425724880 - HA220JR</t>
  </si>
  <si>
    <t>3313</t>
  </si>
  <si>
    <t>305876476</t>
  </si>
  <si>
    <t>43</t>
  </si>
  <si>
    <t>HA570JN</t>
  </si>
  <si>
    <t>1203685703</t>
  </si>
  <si>
    <t>63620050425322636 ECOTEL 19</t>
  </si>
  <si>
    <t>1309</t>
  </si>
  <si>
    <t>305876419</t>
  </si>
  <si>
    <t>44</t>
  </si>
  <si>
    <t>HA491JP</t>
  </si>
  <si>
    <t>CITROEN Berlingo</t>
  </si>
  <si>
    <t>Sede di Capriate San Gervasio</t>
  </si>
  <si>
    <t>1203728078</t>
  </si>
  <si>
    <t>636200 504216 39348 Furgone 7</t>
  </si>
  <si>
    <t>8395</t>
  </si>
  <si>
    <t>45</t>
  </si>
  <si>
    <t>HA318MN</t>
  </si>
  <si>
    <t>OPEL Frontera Hybrid</t>
  </si>
  <si>
    <t>Gianluca Monacciani</t>
  </si>
  <si>
    <t>1203792828</t>
  </si>
  <si>
    <t>Monacciani</t>
  </si>
  <si>
    <t>636200 504214 82079 - GB720DT</t>
  </si>
  <si>
    <t>8885</t>
  </si>
  <si>
    <t>46</t>
  </si>
  <si>
    <t>GP454SF</t>
  </si>
  <si>
    <t>710200185924000145</t>
  </si>
  <si>
    <t>5355</t>
  </si>
  <si>
    <t>1007932955</t>
  </si>
  <si>
    <t>47</t>
  </si>
  <si>
    <t>GJ531GR</t>
  </si>
  <si>
    <t>710200185924000111</t>
  </si>
  <si>
    <t>3274</t>
  </si>
  <si>
    <t>1007933086</t>
  </si>
  <si>
    <t>48</t>
  </si>
  <si>
    <t>GL654WK</t>
  </si>
  <si>
    <t>NISSAN QASHQAI</t>
  </si>
  <si>
    <t>CARTACARBURANTE A DISPOSIZIONE</t>
  </si>
  <si>
    <t>49</t>
  </si>
  <si>
    <t>GN384RB</t>
  </si>
  <si>
    <t>Luca Ranaletta</t>
  </si>
  <si>
    <t>710200185924000061</t>
  </si>
  <si>
    <t>3341</t>
  </si>
  <si>
    <t>1007932989</t>
  </si>
  <si>
    <t>50</t>
  </si>
  <si>
    <t>GS173NP</t>
  </si>
  <si>
    <t>Pierluigi Trinchini</t>
  </si>
  <si>
    <t>710200185924000020</t>
  </si>
  <si>
    <t>1212</t>
  </si>
  <si>
    <t>51</t>
  </si>
  <si>
    <t>GT281SG</t>
  </si>
  <si>
    <t>LIPPA NICOLA (CS)</t>
  </si>
  <si>
    <t>710200185924000053</t>
  </si>
  <si>
    <t>0423</t>
  </si>
  <si>
    <t>1007937327</t>
  </si>
  <si>
    <t>52</t>
  </si>
  <si>
    <t>GW429NN</t>
  </si>
  <si>
    <t>ALFA ROMEO TONALE 1.6 Diesel 130cv TCT6 Sprint</t>
  </si>
  <si>
    <t>Roberta Paris</t>
  </si>
  <si>
    <t>710200185924000046</t>
  </si>
  <si>
    <t>2233</t>
  </si>
  <si>
    <t>1007933011</t>
  </si>
  <si>
    <t>53</t>
  </si>
  <si>
    <t>GW162RR</t>
  </si>
  <si>
    <t>ZAURRINI ANTONIO PIETRO (cs)</t>
  </si>
  <si>
    <t>710200185924000079</t>
  </si>
  <si>
    <t>5022</t>
  </si>
  <si>
    <t>1007932708</t>
  </si>
  <si>
    <t>54</t>
  </si>
  <si>
    <t>GW197RR</t>
  </si>
  <si>
    <t>STORNELLI FEDERICO (cs)</t>
  </si>
  <si>
    <t>710200185924000095</t>
  </si>
  <si>
    <t>1461</t>
  </si>
  <si>
    <t>1007937350</t>
  </si>
  <si>
    <t>55</t>
  </si>
  <si>
    <t>GW977RP</t>
  </si>
  <si>
    <t>710200185924000129</t>
  </si>
  <si>
    <t>0545</t>
  </si>
  <si>
    <t>56</t>
  </si>
  <si>
    <t>GD974AZ</t>
  </si>
  <si>
    <t>ALFA ROMEO STELVIO (PC) 2.2 TURBO DIESEL</t>
  </si>
  <si>
    <t>Luca Parisse</t>
  </si>
  <si>
    <t>710200185924000160</t>
  </si>
  <si>
    <t>8004</t>
  </si>
  <si>
    <t>1007932062</t>
  </si>
  <si>
    <t>57</t>
  </si>
  <si>
    <t>GY711VS</t>
  </si>
  <si>
    <t>VOLKSWAGEN T-Roc 1 T-ROC 2.0</t>
  </si>
  <si>
    <t>Giacomo Paris</t>
  </si>
  <si>
    <t>710200185924000038</t>
  </si>
  <si>
    <t>5510</t>
  </si>
  <si>
    <t>1007908294</t>
  </si>
  <si>
    <t>58</t>
  </si>
  <si>
    <t>GK207XR</t>
  </si>
  <si>
    <t>NISSAN TOWNSTAR19T</t>
  </si>
  <si>
    <t>TRANQUILLI</t>
  </si>
  <si>
    <t>710200185924000152</t>
  </si>
  <si>
    <t>6521</t>
  </si>
  <si>
    <t>62</t>
  </si>
  <si>
    <t>HA737WH</t>
  </si>
  <si>
    <t>Giorgio Tencati</t>
  </si>
  <si>
    <t>1203834524</t>
  </si>
  <si>
    <t>Tencati</t>
  </si>
  <si>
    <t>63620050423334914 HA737WH</t>
  </si>
  <si>
    <t>'3131</t>
  </si>
  <si>
    <t>305876583</t>
  </si>
  <si>
    <t>63</t>
  </si>
  <si>
    <t>GX657WG</t>
  </si>
  <si>
    <t>Alessandro Luongo</t>
  </si>
  <si>
    <t>1203890922</t>
  </si>
  <si>
    <t>63620050423407132 GX657WG</t>
  </si>
  <si>
    <t>2670</t>
  </si>
  <si>
    <t>305876435</t>
  </si>
  <si>
    <t>64</t>
  </si>
  <si>
    <t>HC439CS</t>
  </si>
  <si>
    <t>Maria Grazia Macri</t>
  </si>
  <si>
    <t>1203890638</t>
  </si>
  <si>
    <t>63620050423435455 - HC439CS</t>
  </si>
  <si>
    <t>4682</t>
  </si>
  <si>
    <t>1007933417</t>
  </si>
  <si>
    <t>65</t>
  </si>
  <si>
    <t>HC479CS</t>
  </si>
  <si>
    <t>Luca Orlando</t>
  </si>
  <si>
    <t>1203890829</t>
  </si>
  <si>
    <t>63620050423435448 - GC479CS</t>
  </si>
  <si>
    <t>1400</t>
  </si>
  <si>
    <t>1007953019</t>
  </si>
  <si>
    <t>66</t>
  </si>
  <si>
    <t>HC444CS</t>
  </si>
  <si>
    <t>Carmine Pezzella</t>
  </si>
  <si>
    <t>1203890921</t>
  </si>
  <si>
    <t>63620050423435687 - HC444CS</t>
  </si>
  <si>
    <t>6164</t>
  </si>
  <si>
    <t>1007932633</t>
  </si>
  <si>
    <t>67</t>
  </si>
  <si>
    <t>HC466CT</t>
  </si>
  <si>
    <t>Peugeot 3008</t>
  </si>
  <si>
    <t>Fabio Cavallaro</t>
  </si>
  <si>
    <t>1203890828</t>
  </si>
  <si>
    <t>63620050423435695 - HC466CT</t>
  </si>
  <si>
    <t>7505</t>
  </si>
  <si>
    <t>1007933102</t>
  </si>
  <si>
    <t>68</t>
  </si>
  <si>
    <t>HC468CT</t>
  </si>
  <si>
    <t>Gaetano Pellegrino</t>
  </si>
  <si>
    <t>1203892288</t>
  </si>
  <si>
    <t>63620050423435430 - HC468CT</t>
  </si>
  <si>
    <t>9025</t>
  </si>
  <si>
    <t>1007932195</t>
  </si>
  <si>
    <t>69</t>
  </si>
  <si>
    <t>HD446BE</t>
  </si>
  <si>
    <t>Mercedes GLE coupè</t>
  </si>
  <si>
    <t>Giovanni Tarquini</t>
  </si>
  <si>
    <t>801140</t>
  </si>
  <si>
    <t>63620050423528580 HD446BE</t>
  </si>
  <si>
    <t>8589</t>
  </si>
  <si>
    <t>305876187</t>
  </si>
  <si>
    <t>Per App (ID ut:  787469 ID Driver: 904327 PWD: X4gioele1990)</t>
  </si>
  <si>
    <t>SOCIETA' DI NOLEGGIO</t>
  </si>
  <si>
    <t>CANONE (senza IVA)</t>
  </si>
  <si>
    <t xml:space="preserve">PEUGEOT 5008 </t>
  </si>
  <si>
    <t>RENAULT VAN MASTER 22T</t>
  </si>
  <si>
    <t xml:space="preserve">POOL </t>
  </si>
  <si>
    <t xml:space="preserve">BMW X3 xDrive20d 48V </t>
  </si>
  <si>
    <t>Riadeguamento Contrattuale 06/2024</t>
  </si>
  <si>
    <t>FIAT 500X 1 Sport 500X 1.3 - Diesel</t>
  </si>
  <si>
    <t>DUCATO 35 LH2 2.2 Mjt3 140CV AT9 E6D-fin - Diesel</t>
  </si>
  <si>
    <t>BOXER 2.2 BLUEHDI 140 S&amp;S 333 L2H2</t>
  </si>
  <si>
    <t>FIAT DUCATO 28 CH1 2.2 Mjt3 120CV E6D-fin</t>
  </si>
  <si>
    <t>FIAT SCUDO L2H1 1.5 BlueHdi 120cv MT6 LOUNGE</t>
  </si>
  <si>
    <t>FIORINO 1.3 Multijet 95 CV E6d-final SX</t>
  </si>
  <si>
    <t>PEUGEOT 208 Allure Pack BlueHDi 100 S/S</t>
  </si>
  <si>
    <t>FIAT DUCATO 35 MH2 2.2 Mjt3 140CV E6.4 Easy P</t>
  </si>
  <si>
    <t>FIAT FIORINO 1.3 Multijet 95 CV E6d-final SX</t>
  </si>
  <si>
    <t>CAPRIATE - G. PELLEGRINO</t>
  </si>
  <si>
    <t>CAPRIATE - F. CAVALLARO</t>
  </si>
  <si>
    <t>FIAT DOBLO VAN CH1 1.5 BlueHdi 100cv MT6</t>
  </si>
  <si>
    <t>FIAT DDUCATO 35 LH2 2.2 Mjt3 140CV E6D-fin</t>
  </si>
  <si>
    <t>PEUGEOT BOXER 335 L3H2 2.0 BlueHDi 160cv Cab.App</t>
  </si>
  <si>
    <t>PEUGEOT BOXER 2.2 BLUEHDI 140 S&amp;S 333 L2H2</t>
  </si>
  <si>
    <t>CITROEN BERLINGO BlueHDi 100 S&amp;S M standard</t>
  </si>
  <si>
    <t>FIAT DUCATO 35Q LH2 140CV 2.2 Multijet 3 E6E</t>
  </si>
  <si>
    <t>RENAULT BOXER 2.2 BLUEHDI 140 S&amp;S 333 L2H2</t>
  </si>
  <si>
    <t xml:space="preserve">IVECO DAILY </t>
  </si>
  <si>
    <t>Pool dal 4/12/25, in precedenza assegnata a Monacciani</t>
  </si>
  <si>
    <t>La scheda '63620050421482103 (FURGONE 1) assegnata al DUCATO HA035DD è danneggiata. La 63620050425322644 ECOTEL 18 del PEUGEOT BOXER GW475XS viene spostata sul DUCATO HA035DD</t>
  </si>
  <si>
    <t xml:space="preserve">Gangemi Provvisoria </t>
  </si>
  <si>
    <t>1232866</t>
  </si>
  <si>
    <t>822738</t>
  </si>
  <si>
    <t>?</t>
  </si>
  <si>
    <t>642645</t>
  </si>
  <si>
    <t>1315327</t>
  </si>
  <si>
    <t>PEUGEOT BOXER CARGO VAN</t>
  </si>
  <si>
    <t>08/04/209</t>
  </si>
  <si>
    <t>VIACARD 361155901</t>
  </si>
  <si>
    <t>VIACARD 385592119</t>
  </si>
  <si>
    <t>ALD AUTOMATIVE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</si>
</sst>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17" fontId="2" fillId="3" borderId="1" xfId="0" applyNumberFormat="1" applyFont="1" applyFill="1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7"/>
  <sheetViews>
    <sheetView tabSelected="1" zoomScale="90" zoomScaleNormal="90" workbookViewId="0">
      <pane ySplit="1" topLeftCell="A47" activePane="bottomLeft" state="frozen"/>
      <selection pane="bottomLeft" activeCell="B1" sqref="B1:B1048576"/>
    </sheetView>
  </sheetViews>
  <sheetFormatPr defaultRowHeight="15" x14ac:dyDescent="0.25"/>
  <cols>
    <col min="1" max="1" width="5" customWidth="1"/>
    <col min="2" max="2" width="38.140625" customWidth="1"/>
    <col min="3" max="3" width="14.7109375" customWidth="1"/>
    <col min="4" max="4" width="11.85546875" customWidth="1"/>
    <col min="5" max="5" width="47" bestFit="1" customWidth="1"/>
    <col min="6" max="6" width="10.140625" customWidth="1"/>
    <col min="7" max="7" width="12.85546875" customWidth="1"/>
    <col min="8" max="8" width="28" customWidth="1"/>
    <col min="9" max="9" width="22" customWidth="1"/>
    <col min="10" max="10" width="16" customWidth="1"/>
    <col min="11" max="12" width="15" customWidth="1"/>
    <col min="13" max="13" width="13.140625" style="5" customWidth="1"/>
    <col min="14" max="14" width="22.85546875" customWidth="1"/>
    <col min="15" max="15" width="31.140625" customWidth="1"/>
    <col min="16" max="16" width="15.140625" customWidth="1"/>
    <col min="17" max="17" width="8" style="4" customWidth="1"/>
    <col min="18" max="18" width="24" customWidth="1"/>
    <col min="19" max="19" width="8.5703125" customWidth="1"/>
    <col min="20" max="20" width="13.7109375" customWidth="1"/>
    <col min="21" max="21" width="14.140625" customWidth="1"/>
    <col min="22" max="22" width="13.28515625" customWidth="1"/>
    <col min="23" max="23" width="20" customWidth="1"/>
    <col min="24" max="24" width="52.28515625" bestFit="1" customWidth="1"/>
  </cols>
  <sheetData>
    <row r="1" spans="1:24" s="2" customFormat="1" ht="30" customHeight="1" x14ac:dyDescent="0.25">
      <c r="A1" s="1" t="s">
        <v>0</v>
      </c>
      <c r="B1" s="3" t="s">
        <v>483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484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ht="18" customHeight="1" x14ac:dyDescent="0.25">
      <c r="A2" s="6" t="s">
        <v>22</v>
      </c>
      <c r="B2" s="6" t="s">
        <v>186</v>
      </c>
      <c r="C2" s="6"/>
      <c r="D2" s="6" t="s">
        <v>23</v>
      </c>
      <c r="E2" s="6" t="s">
        <v>24</v>
      </c>
      <c r="F2" s="7">
        <v>100000</v>
      </c>
      <c r="G2" s="7"/>
      <c r="H2" s="6"/>
      <c r="I2" s="6" t="s">
        <v>26</v>
      </c>
      <c r="J2" s="11" t="s">
        <v>27</v>
      </c>
      <c r="K2" s="8">
        <v>44817</v>
      </c>
      <c r="L2" s="8">
        <v>46278</v>
      </c>
      <c r="M2" s="9">
        <v>671</v>
      </c>
      <c r="N2" s="6" t="s">
        <v>26</v>
      </c>
      <c r="O2" s="6" t="s">
        <v>28</v>
      </c>
      <c r="P2" s="6"/>
      <c r="Q2" s="10" t="s">
        <v>29</v>
      </c>
      <c r="R2" s="6"/>
      <c r="S2" s="6"/>
      <c r="T2" s="6"/>
      <c r="U2" s="6">
        <v>311531633</v>
      </c>
      <c r="V2" s="6" t="s">
        <v>30</v>
      </c>
      <c r="W2" s="6"/>
      <c r="X2" s="6"/>
    </row>
    <row r="3" spans="1:24" ht="18" customHeight="1" x14ac:dyDescent="0.25">
      <c r="A3" s="6" t="s">
        <v>31</v>
      </c>
      <c r="B3" s="6" t="s">
        <v>32</v>
      </c>
      <c r="C3" s="6"/>
      <c r="D3" s="6" t="s">
        <v>33</v>
      </c>
      <c r="E3" s="6" t="s">
        <v>34</v>
      </c>
      <c r="F3" s="7">
        <v>100000</v>
      </c>
      <c r="G3" s="7">
        <v>20000</v>
      </c>
      <c r="H3" s="6" t="s">
        <v>35</v>
      </c>
      <c r="I3" s="6"/>
      <c r="J3" s="11" t="s">
        <v>36</v>
      </c>
      <c r="K3" s="8">
        <v>45058</v>
      </c>
      <c r="L3" s="8">
        <v>46519</v>
      </c>
      <c r="M3" s="9">
        <v>335.43</v>
      </c>
      <c r="N3" s="6" t="s">
        <v>37</v>
      </c>
      <c r="O3" s="6" t="s">
        <v>38</v>
      </c>
      <c r="P3" s="6"/>
      <c r="Q3" s="10" t="s">
        <v>39</v>
      </c>
      <c r="R3" s="6"/>
      <c r="S3" s="6"/>
      <c r="T3" s="6" t="s">
        <v>40</v>
      </c>
      <c r="U3" s="6" t="s">
        <v>41</v>
      </c>
      <c r="V3" s="6"/>
      <c r="W3" s="6"/>
      <c r="X3" s="6"/>
    </row>
    <row r="4" spans="1:24" ht="18" customHeight="1" x14ac:dyDescent="0.25">
      <c r="A4" s="6" t="s">
        <v>42</v>
      </c>
      <c r="B4" s="6" t="s">
        <v>32</v>
      </c>
      <c r="C4" s="6"/>
      <c r="D4" s="6" t="s">
        <v>43</v>
      </c>
      <c r="E4" s="6" t="s">
        <v>44</v>
      </c>
      <c r="F4" s="7">
        <v>100000</v>
      </c>
      <c r="G4" s="7">
        <v>20000</v>
      </c>
      <c r="H4" s="6" t="s">
        <v>45</v>
      </c>
      <c r="I4" s="6"/>
      <c r="J4" s="11" t="s">
        <v>46</v>
      </c>
      <c r="K4" s="8">
        <v>45184</v>
      </c>
      <c r="L4" s="8">
        <v>46645</v>
      </c>
      <c r="M4" s="9">
        <v>377.47</v>
      </c>
      <c r="N4" s="6" t="s">
        <v>37</v>
      </c>
      <c r="O4" s="6"/>
      <c r="P4" s="6"/>
      <c r="Q4" s="10"/>
      <c r="R4" s="6"/>
      <c r="S4" s="6"/>
      <c r="T4" s="6" t="s">
        <v>47</v>
      </c>
      <c r="U4" s="6" t="s">
        <v>48</v>
      </c>
      <c r="V4" s="6"/>
      <c r="W4" s="6"/>
      <c r="X4" s="12" t="s">
        <v>509</v>
      </c>
    </row>
    <row r="5" spans="1:24" ht="18" customHeight="1" x14ac:dyDescent="0.25">
      <c r="A5" s="6" t="s">
        <v>49</v>
      </c>
      <c r="B5" s="6" t="s">
        <v>50</v>
      </c>
      <c r="C5" s="6"/>
      <c r="D5" s="6" t="s">
        <v>51</v>
      </c>
      <c r="E5" s="6" t="s">
        <v>52</v>
      </c>
      <c r="F5" s="7">
        <v>25000</v>
      </c>
      <c r="G5" s="7"/>
      <c r="H5" s="6" t="s">
        <v>53</v>
      </c>
      <c r="I5" s="6"/>
      <c r="J5" s="11" t="s">
        <v>54</v>
      </c>
      <c r="K5" s="8">
        <v>44886</v>
      </c>
      <c r="L5" s="8">
        <v>46295</v>
      </c>
      <c r="M5" s="9">
        <v>860</v>
      </c>
      <c r="N5" s="6" t="s">
        <v>55</v>
      </c>
      <c r="O5" s="6" t="s">
        <v>56</v>
      </c>
      <c r="P5" s="6"/>
      <c r="Q5" s="10" t="s">
        <v>57</v>
      </c>
      <c r="R5" s="6"/>
      <c r="S5" s="6"/>
      <c r="T5" s="6"/>
      <c r="U5" s="6">
        <v>311531633</v>
      </c>
      <c r="V5" s="6"/>
      <c r="W5" s="6" t="s">
        <v>519</v>
      </c>
      <c r="X5" s="6"/>
    </row>
    <row r="6" spans="1:24" ht="18" customHeight="1" x14ac:dyDescent="0.25">
      <c r="A6" s="6" t="s">
        <v>58</v>
      </c>
      <c r="B6" s="6" t="s">
        <v>32</v>
      </c>
      <c r="C6" s="6"/>
      <c r="D6" s="6" t="s">
        <v>59</v>
      </c>
      <c r="E6" s="6" t="s">
        <v>60</v>
      </c>
      <c r="F6" s="7">
        <v>170000</v>
      </c>
      <c r="G6" s="7">
        <v>20000</v>
      </c>
      <c r="H6" s="6"/>
      <c r="I6" s="6" t="s">
        <v>61</v>
      </c>
      <c r="J6" s="11" t="s">
        <v>62</v>
      </c>
      <c r="K6" s="8">
        <v>45051</v>
      </c>
      <c r="L6" s="8">
        <v>46539</v>
      </c>
      <c r="M6" s="9">
        <v>680.81</v>
      </c>
      <c r="N6" s="6" t="s">
        <v>37</v>
      </c>
      <c r="O6" s="6" t="s">
        <v>63</v>
      </c>
      <c r="P6" s="6" t="s">
        <v>59</v>
      </c>
      <c r="Q6" s="10" t="s">
        <v>64</v>
      </c>
      <c r="R6" s="6"/>
      <c r="S6" s="6"/>
      <c r="T6" s="6"/>
      <c r="U6" s="6">
        <v>311531633</v>
      </c>
      <c r="V6" s="6" t="s">
        <v>65</v>
      </c>
      <c r="W6" s="6"/>
      <c r="X6" s="6"/>
    </row>
    <row r="7" spans="1:24" ht="18" customHeight="1" x14ac:dyDescent="0.25">
      <c r="A7" s="6" t="s">
        <v>66</v>
      </c>
      <c r="B7" s="6" t="s">
        <v>32</v>
      </c>
      <c r="C7" s="6"/>
      <c r="D7" s="6" t="s">
        <v>67</v>
      </c>
      <c r="E7" s="12" t="s">
        <v>497</v>
      </c>
      <c r="F7" s="7">
        <v>100000</v>
      </c>
      <c r="G7" s="7">
        <v>20000</v>
      </c>
      <c r="H7" s="6" t="s">
        <v>69</v>
      </c>
      <c r="I7" s="6"/>
      <c r="J7" s="11" t="s">
        <v>70</v>
      </c>
      <c r="K7" s="8">
        <v>45177</v>
      </c>
      <c r="L7" s="8">
        <v>46661</v>
      </c>
      <c r="M7" s="9">
        <v>739.43</v>
      </c>
      <c r="N7" s="6" t="s">
        <v>37</v>
      </c>
      <c r="O7" s="6" t="s">
        <v>71</v>
      </c>
      <c r="P7" s="6" t="s">
        <v>72</v>
      </c>
      <c r="Q7" s="10" t="s">
        <v>73</v>
      </c>
      <c r="R7" s="6"/>
      <c r="S7" s="6"/>
      <c r="T7" s="6"/>
      <c r="U7" s="6">
        <v>311531633</v>
      </c>
      <c r="V7" s="6" t="s">
        <v>74</v>
      </c>
      <c r="W7" s="6"/>
      <c r="X7" s="6"/>
    </row>
    <row r="8" spans="1:24" ht="18" customHeight="1" x14ac:dyDescent="0.25">
      <c r="A8" s="6" t="s">
        <v>75</v>
      </c>
      <c r="B8" s="6" t="s">
        <v>32</v>
      </c>
      <c r="C8" s="6"/>
      <c r="D8" s="6" t="s">
        <v>76</v>
      </c>
      <c r="E8" s="12" t="s">
        <v>495</v>
      </c>
      <c r="F8" s="7">
        <v>120000</v>
      </c>
      <c r="G8" s="7"/>
      <c r="H8" s="12" t="s">
        <v>500</v>
      </c>
      <c r="I8" s="6"/>
      <c r="J8" s="11" t="s">
        <v>77</v>
      </c>
      <c r="K8" s="8">
        <v>45195</v>
      </c>
      <c r="L8" s="8">
        <v>46661</v>
      </c>
      <c r="M8" s="9">
        <v>477.57</v>
      </c>
      <c r="N8" s="6" t="s">
        <v>37</v>
      </c>
      <c r="O8" s="6" t="s">
        <v>78</v>
      </c>
      <c r="P8" s="6" t="s">
        <v>79</v>
      </c>
      <c r="Q8" s="10" t="s">
        <v>80</v>
      </c>
      <c r="R8" s="6"/>
      <c r="S8" s="6"/>
      <c r="T8" s="6"/>
      <c r="U8" s="6">
        <v>311531633</v>
      </c>
      <c r="V8" s="6" t="s">
        <v>81</v>
      </c>
      <c r="W8" s="6"/>
      <c r="X8" s="6"/>
    </row>
    <row r="9" spans="1:24" ht="18" customHeight="1" x14ac:dyDescent="0.25">
      <c r="A9" s="6" t="s">
        <v>82</v>
      </c>
      <c r="B9" s="6" t="s">
        <v>32</v>
      </c>
      <c r="C9" s="6"/>
      <c r="D9" s="6" t="s">
        <v>83</v>
      </c>
      <c r="E9" s="12" t="s">
        <v>498</v>
      </c>
      <c r="F9" s="7">
        <v>120000</v>
      </c>
      <c r="G9" s="7"/>
      <c r="H9" s="12" t="s">
        <v>499</v>
      </c>
      <c r="I9" s="6"/>
      <c r="J9" s="11" t="s">
        <v>84</v>
      </c>
      <c r="K9" s="8">
        <v>45195</v>
      </c>
      <c r="L9" s="8">
        <v>46661</v>
      </c>
      <c r="M9" s="9">
        <v>477.57</v>
      </c>
      <c r="N9" s="6" t="s">
        <v>37</v>
      </c>
      <c r="O9" s="6" t="s">
        <v>85</v>
      </c>
      <c r="P9" s="6" t="s">
        <v>86</v>
      </c>
      <c r="Q9" s="10" t="s">
        <v>87</v>
      </c>
      <c r="R9" s="6"/>
      <c r="S9" s="6"/>
      <c r="T9" s="6"/>
      <c r="U9" s="6">
        <v>311531633</v>
      </c>
      <c r="V9" s="6" t="s">
        <v>88</v>
      </c>
      <c r="W9" s="6"/>
      <c r="X9" s="6"/>
    </row>
    <row r="10" spans="1:24" ht="18" customHeight="1" x14ac:dyDescent="0.25">
      <c r="A10" s="6" t="s">
        <v>89</v>
      </c>
      <c r="B10" s="6" t="s">
        <v>32</v>
      </c>
      <c r="C10" s="6"/>
      <c r="D10" s="6" t="s">
        <v>90</v>
      </c>
      <c r="E10" s="12" t="s">
        <v>493</v>
      </c>
      <c r="F10" s="7">
        <v>100000</v>
      </c>
      <c r="G10" s="7">
        <v>20000</v>
      </c>
      <c r="H10" s="6" t="s">
        <v>91</v>
      </c>
      <c r="I10" s="6"/>
      <c r="J10" s="11" t="s">
        <v>92</v>
      </c>
      <c r="K10" s="8">
        <v>45105</v>
      </c>
      <c r="L10" s="8">
        <v>46569</v>
      </c>
      <c r="M10" s="9">
        <v>629.47</v>
      </c>
      <c r="N10" s="6" t="s">
        <v>37</v>
      </c>
      <c r="O10" s="6" t="s">
        <v>93</v>
      </c>
      <c r="P10" s="6" t="s">
        <v>94</v>
      </c>
      <c r="Q10" s="10" t="s">
        <v>95</v>
      </c>
      <c r="R10" s="6"/>
      <c r="S10" s="6"/>
      <c r="T10" s="6" t="s">
        <v>96</v>
      </c>
      <c r="U10" s="6" t="s">
        <v>41</v>
      </c>
      <c r="V10" s="6"/>
      <c r="W10" s="6"/>
      <c r="X10" s="6"/>
    </row>
    <row r="11" spans="1:24" ht="18" customHeight="1" x14ac:dyDescent="0.25">
      <c r="A11" s="6" t="s">
        <v>97</v>
      </c>
      <c r="B11" s="6" t="s">
        <v>32</v>
      </c>
      <c r="C11" s="6"/>
      <c r="D11" s="6" t="s">
        <v>98</v>
      </c>
      <c r="E11" s="6" t="s">
        <v>99</v>
      </c>
      <c r="F11" s="7">
        <v>120000</v>
      </c>
      <c r="G11" s="7"/>
      <c r="H11" s="6" t="s">
        <v>91</v>
      </c>
      <c r="I11" s="6"/>
      <c r="J11" s="11" t="s">
        <v>100</v>
      </c>
      <c r="K11" s="8">
        <v>45296</v>
      </c>
      <c r="L11" s="8">
        <v>46757</v>
      </c>
      <c r="M11" s="9">
        <v>683.12</v>
      </c>
      <c r="N11" s="6" t="s">
        <v>37</v>
      </c>
      <c r="O11" s="6" t="s">
        <v>101</v>
      </c>
      <c r="P11" s="6" t="s">
        <v>102</v>
      </c>
      <c r="Q11" s="10" t="s">
        <v>103</v>
      </c>
      <c r="R11" s="6"/>
      <c r="S11" s="6"/>
      <c r="T11" s="6"/>
      <c r="U11" s="6">
        <v>311531633</v>
      </c>
      <c r="V11" s="6" t="s">
        <v>104</v>
      </c>
      <c r="W11" s="6"/>
      <c r="X11" s="6"/>
    </row>
    <row r="12" spans="1:24" ht="18" customHeight="1" x14ac:dyDescent="0.25">
      <c r="A12" s="6" t="s">
        <v>105</v>
      </c>
      <c r="B12" s="6" t="s">
        <v>32</v>
      </c>
      <c r="C12" s="6"/>
      <c r="D12" s="6" t="s">
        <v>106</v>
      </c>
      <c r="E12" s="12" t="s">
        <v>494</v>
      </c>
      <c r="F12" s="7">
        <v>120000</v>
      </c>
      <c r="G12" s="7"/>
      <c r="H12" s="6" t="s">
        <v>69</v>
      </c>
      <c r="I12" s="6"/>
      <c r="J12" s="11" t="s">
        <v>107</v>
      </c>
      <c r="K12" s="8">
        <v>45299</v>
      </c>
      <c r="L12" s="8">
        <v>46784</v>
      </c>
      <c r="M12" s="9">
        <v>661.34</v>
      </c>
      <c r="N12" s="6" t="s">
        <v>37</v>
      </c>
      <c r="O12" s="6" t="s">
        <v>108</v>
      </c>
      <c r="P12" s="6"/>
      <c r="Q12" s="10" t="s">
        <v>109</v>
      </c>
      <c r="R12" s="6"/>
      <c r="S12" s="6"/>
      <c r="T12" s="6" t="s">
        <v>110</v>
      </c>
      <c r="U12" s="6" t="s">
        <v>41</v>
      </c>
      <c r="V12" s="6"/>
      <c r="W12" s="6"/>
      <c r="X12" s="6"/>
    </row>
    <row r="13" spans="1:24" ht="18" customHeight="1" x14ac:dyDescent="0.25">
      <c r="A13" s="6" t="s">
        <v>111</v>
      </c>
      <c r="B13" s="6" t="s">
        <v>32</v>
      </c>
      <c r="C13" s="6"/>
      <c r="D13" s="6" t="s">
        <v>112</v>
      </c>
      <c r="E13" s="6" t="s">
        <v>113</v>
      </c>
      <c r="F13" s="7">
        <v>100000</v>
      </c>
      <c r="G13" s="7">
        <v>20000</v>
      </c>
      <c r="H13" s="6"/>
      <c r="I13" s="6" t="s">
        <v>114</v>
      </c>
      <c r="J13" s="11" t="s">
        <v>115</v>
      </c>
      <c r="K13" s="8">
        <v>45299</v>
      </c>
      <c r="L13" s="8">
        <v>46760</v>
      </c>
      <c r="M13" s="9">
        <v>550.32000000000005</v>
      </c>
      <c r="N13" s="6" t="s">
        <v>114</v>
      </c>
      <c r="O13" s="6" t="s">
        <v>116</v>
      </c>
      <c r="P13" s="6" t="s">
        <v>112</v>
      </c>
      <c r="Q13" s="10" t="s">
        <v>117</v>
      </c>
      <c r="R13" s="6"/>
      <c r="S13" s="6"/>
      <c r="T13" s="6" t="s">
        <v>118</v>
      </c>
      <c r="U13" s="6" t="s">
        <v>48</v>
      </c>
      <c r="V13" s="6"/>
      <c r="W13" s="6"/>
      <c r="X13" s="6"/>
    </row>
    <row r="14" spans="1:24" ht="18" customHeight="1" x14ac:dyDescent="0.25">
      <c r="A14" s="6" t="s">
        <v>119</v>
      </c>
      <c r="B14" s="6" t="s">
        <v>32</v>
      </c>
      <c r="C14" s="6"/>
      <c r="D14" s="6" t="s">
        <v>120</v>
      </c>
      <c r="E14" s="12" t="s">
        <v>501</v>
      </c>
      <c r="F14" s="7">
        <v>120000</v>
      </c>
      <c r="G14" s="7"/>
      <c r="H14" s="6" t="s">
        <v>69</v>
      </c>
      <c r="I14" s="6"/>
      <c r="J14" s="11" t="s">
        <v>121</v>
      </c>
      <c r="K14" s="8">
        <v>45323</v>
      </c>
      <c r="L14" s="8">
        <v>46784</v>
      </c>
      <c r="M14" s="9">
        <v>559.02</v>
      </c>
      <c r="N14" s="6" t="s">
        <v>37</v>
      </c>
      <c r="O14" s="6" t="s">
        <v>122</v>
      </c>
      <c r="P14" s="6" t="s">
        <v>123</v>
      </c>
      <c r="Q14" s="10" t="s">
        <v>124</v>
      </c>
      <c r="R14" s="6"/>
      <c r="S14" s="6"/>
      <c r="T14" s="6" t="s">
        <v>125</v>
      </c>
      <c r="U14" s="6" t="s">
        <v>41</v>
      </c>
      <c r="V14" s="6"/>
      <c r="W14" s="6"/>
      <c r="X14" s="6"/>
    </row>
    <row r="15" spans="1:24" ht="18" customHeight="1" x14ac:dyDescent="0.25">
      <c r="A15" s="6" t="s">
        <v>126</v>
      </c>
      <c r="B15" s="6" t="s">
        <v>32</v>
      </c>
      <c r="C15" s="6"/>
      <c r="D15" s="6" t="s">
        <v>127</v>
      </c>
      <c r="E15" s="12" t="s">
        <v>501</v>
      </c>
      <c r="F15" s="7">
        <v>120000</v>
      </c>
      <c r="G15" s="7"/>
      <c r="H15" s="6" t="s">
        <v>128</v>
      </c>
      <c r="I15" s="6"/>
      <c r="J15" s="11" t="s">
        <v>129</v>
      </c>
      <c r="K15" s="8">
        <v>45323</v>
      </c>
      <c r="L15" s="8">
        <v>46784</v>
      </c>
      <c r="M15" s="9">
        <v>559.02</v>
      </c>
      <c r="N15" s="6"/>
      <c r="O15" s="6" t="s">
        <v>130</v>
      </c>
      <c r="P15" s="6"/>
      <c r="Q15" s="10" t="s">
        <v>131</v>
      </c>
      <c r="R15" s="6"/>
      <c r="S15" s="6"/>
      <c r="T15" s="6"/>
      <c r="U15" s="6"/>
      <c r="V15" s="6"/>
      <c r="W15" s="6"/>
      <c r="X15" s="6"/>
    </row>
    <row r="16" spans="1:24" ht="18" customHeight="1" x14ac:dyDescent="0.25">
      <c r="A16" s="6" t="s">
        <v>132</v>
      </c>
      <c r="B16" s="6" t="s">
        <v>32</v>
      </c>
      <c r="C16" s="6"/>
      <c r="D16" s="6" t="s">
        <v>133</v>
      </c>
      <c r="E16" s="12" t="s">
        <v>496</v>
      </c>
      <c r="F16" s="7">
        <v>70000</v>
      </c>
      <c r="G16" s="7">
        <v>10000</v>
      </c>
      <c r="H16" s="6"/>
      <c r="I16" s="6" t="s">
        <v>134</v>
      </c>
      <c r="J16" s="11" t="s">
        <v>135</v>
      </c>
      <c r="K16" s="8">
        <v>45324</v>
      </c>
      <c r="L16" s="8">
        <v>46813</v>
      </c>
      <c r="M16" s="9">
        <v>359.52</v>
      </c>
      <c r="N16" s="6" t="s">
        <v>134</v>
      </c>
      <c r="O16" s="6" t="s">
        <v>136</v>
      </c>
      <c r="P16" s="6" t="s">
        <v>133</v>
      </c>
      <c r="Q16" s="10" t="s">
        <v>137</v>
      </c>
      <c r="R16" s="6"/>
      <c r="S16" s="6"/>
      <c r="T16" s="6" t="s">
        <v>138</v>
      </c>
      <c r="U16" s="6" t="s">
        <v>41</v>
      </c>
      <c r="V16" s="6"/>
      <c r="W16" s="6"/>
      <c r="X16" s="6"/>
    </row>
    <row r="17" spans="1:24" ht="18" customHeight="1" x14ac:dyDescent="0.25">
      <c r="A17" s="6" t="s">
        <v>139</v>
      </c>
      <c r="B17" s="6" t="s">
        <v>50</v>
      </c>
      <c r="C17" s="6"/>
      <c r="D17" s="6" t="s">
        <v>140</v>
      </c>
      <c r="E17" s="6" t="s">
        <v>141</v>
      </c>
      <c r="F17" s="7">
        <v>25000</v>
      </c>
      <c r="G17" s="7"/>
      <c r="H17" s="6" t="s">
        <v>69</v>
      </c>
      <c r="I17" s="6"/>
      <c r="J17" s="11" t="s">
        <v>142</v>
      </c>
      <c r="K17" s="8">
        <v>45352</v>
      </c>
      <c r="L17" s="8">
        <v>46295</v>
      </c>
      <c r="M17" s="9">
        <v>2250</v>
      </c>
      <c r="N17" s="6" t="s">
        <v>55</v>
      </c>
      <c r="O17" s="6"/>
      <c r="P17" s="6"/>
      <c r="Q17" s="10"/>
      <c r="R17" s="6"/>
      <c r="S17" s="6"/>
      <c r="T17" s="6"/>
      <c r="U17" s="6">
        <v>311531633</v>
      </c>
      <c r="V17" s="6"/>
      <c r="W17" s="6" t="s">
        <v>520</v>
      </c>
      <c r="X17" s="6"/>
    </row>
    <row r="18" spans="1:24" ht="18" customHeight="1" x14ac:dyDescent="0.25">
      <c r="A18" s="6" t="s">
        <v>143</v>
      </c>
      <c r="B18" s="6" t="s">
        <v>32</v>
      </c>
      <c r="C18" s="6"/>
      <c r="D18" s="6" t="s">
        <v>144</v>
      </c>
      <c r="E18" s="6" t="s">
        <v>145</v>
      </c>
      <c r="F18" s="7">
        <v>100000</v>
      </c>
      <c r="G18" s="7">
        <v>20000</v>
      </c>
      <c r="H18" s="6"/>
      <c r="I18" s="6" t="s">
        <v>146</v>
      </c>
      <c r="J18" s="11" t="s">
        <v>147</v>
      </c>
      <c r="K18" s="8">
        <v>45371</v>
      </c>
      <c r="L18" s="8">
        <v>46832</v>
      </c>
      <c r="M18" s="9">
        <v>518.5</v>
      </c>
      <c r="N18" s="6" t="s">
        <v>146</v>
      </c>
      <c r="O18" s="6" t="s">
        <v>148</v>
      </c>
      <c r="P18" s="6" t="s">
        <v>144</v>
      </c>
      <c r="Q18" s="10" t="s">
        <v>149</v>
      </c>
      <c r="R18" s="6"/>
      <c r="S18" s="6"/>
      <c r="T18" s="6" t="s">
        <v>150</v>
      </c>
      <c r="U18" s="6" t="s">
        <v>151</v>
      </c>
      <c r="V18" s="6"/>
      <c r="W18" s="6"/>
      <c r="X18" s="6"/>
    </row>
    <row r="19" spans="1:24" ht="18" customHeight="1" x14ac:dyDescent="0.25">
      <c r="A19" s="6" t="s">
        <v>152</v>
      </c>
      <c r="B19" s="6" t="s">
        <v>32</v>
      </c>
      <c r="C19" s="6"/>
      <c r="D19" s="6" t="s">
        <v>153</v>
      </c>
      <c r="E19" s="6" t="s">
        <v>68</v>
      </c>
      <c r="F19" s="7">
        <v>120000</v>
      </c>
      <c r="G19" s="7"/>
      <c r="H19" s="6" t="s">
        <v>91</v>
      </c>
      <c r="I19" s="6"/>
      <c r="J19" s="11" t="s">
        <v>154</v>
      </c>
      <c r="K19" s="8">
        <v>45371</v>
      </c>
      <c r="L19" s="8">
        <v>46832</v>
      </c>
      <c r="M19" s="9">
        <v>699.95</v>
      </c>
      <c r="N19" s="6" t="s">
        <v>37</v>
      </c>
      <c r="O19" s="6" t="s">
        <v>155</v>
      </c>
      <c r="P19" s="6"/>
      <c r="Q19" s="10" t="s">
        <v>156</v>
      </c>
      <c r="R19" s="6"/>
      <c r="S19" s="6"/>
      <c r="T19" s="6" t="s">
        <v>157</v>
      </c>
      <c r="U19" s="6" t="s">
        <v>151</v>
      </c>
      <c r="V19" s="6"/>
      <c r="W19" s="6"/>
      <c r="X19" s="6"/>
    </row>
    <row r="20" spans="1:24" ht="18" customHeight="1" x14ac:dyDescent="0.25">
      <c r="A20" s="6" t="s">
        <v>158</v>
      </c>
      <c r="B20" s="6" t="s">
        <v>32</v>
      </c>
      <c r="C20" s="6"/>
      <c r="D20" s="6" t="s">
        <v>159</v>
      </c>
      <c r="E20" s="6" t="s">
        <v>68</v>
      </c>
      <c r="F20" s="7">
        <v>120000</v>
      </c>
      <c r="G20" s="7"/>
      <c r="H20" s="6" t="s">
        <v>69</v>
      </c>
      <c r="I20" s="6"/>
      <c r="J20" s="11" t="s">
        <v>160</v>
      </c>
      <c r="K20" s="8">
        <v>45419</v>
      </c>
      <c r="L20" s="8">
        <v>46879</v>
      </c>
      <c r="M20" s="9">
        <v>656.59</v>
      </c>
      <c r="N20" s="6" t="s">
        <v>37</v>
      </c>
      <c r="O20" s="6" t="s">
        <v>161</v>
      </c>
      <c r="P20" s="6"/>
      <c r="Q20" s="10" t="s">
        <v>162</v>
      </c>
      <c r="R20" s="6"/>
      <c r="S20" s="6"/>
      <c r="T20" s="6" t="s">
        <v>163</v>
      </c>
      <c r="U20" s="6" t="s">
        <v>48</v>
      </c>
      <c r="V20" s="6"/>
      <c r="W20" s="6"/>
      <c r="X20" s="6"/>
    </row>
    <row r="21" spans="1:24" ht="18" customHeight="1" x14ac:dyDescent="0.25">
      <c r="A21" s="6" t="s">
        <v>164</v>
      </c>
      <c r="B21" s="6" t="s">
        <v>32</v>
      </c>
      <c r="C21" s="6"/>
      <c r="D21" s="6" t="s">
        <v>165</v>
      </c>
      <c r="E21" s="6" t="s">
        <v>166</v>
      </c>
      <c r="F21" s="7">
        <v>60000</v>
      </c>
      <c r="G21" s="7">
        <v>15000</v>
      </c>
      <c r="H21" s="6" t="s">
        <v>45</v>
      </c>
      <c r="I21" s="6"/>
      <c r="J21" s="11" t="s">
        <v>167</v>
      </c>
      <c r="K21" s="8">
        <v>45434</v>
      </c>
      <c r="L21" s="8">
        <v>46528</v>
      </c>
      <c r="M21" s="9">
        <v>311.87</v>
      </c>
      <c r="N21" s="6" t="s">
        <v>37</v>
      </c>
      <c r="O21" s="6" t="s">
        <v>168</v>
      </c>
      <c r="P21" s="6"/>
      <c r="Q21" s="10" t="s">
        <v>169</v>
      </c>
      <c r="R21" s="6"/>
      <c r="S21" s="6"/>
      <c r="T21" s="6" t="s">
        <v>170</v>
      </c>
      <c r="U21" s="6" t="s">
        <v>48</v>
      </c>
      <c r="V21" s="6"/>
      <c r="W21" s="6"/>
      <c r="X21" s="6"/>
    </row>
    <row r="22" spans="1:24" ht="18" customHeight="1" x14ac:dyDescent="0.25">
      <c r="A22" s="6" t="s">
        <v>171</v>
      </c>
      <c r="B22" s="6" t="s">
        <v>32</v>
      </c>
      <c r="C22" s="6"/>
      <c r="D22" s="6" t="s">
        <v>172</v>
      </c>
      <c r="E22" s="12" t="s">
        <v>502</v>
      </c>
      <c r="F22" s="7">
        <v>120000</v>
      </c>
      <c r="G22" s="7"/>
      <c r="H22" s="6"/>
      <c r="I22" s="6"/>
      <c r="J22" s="11" t="s">
        <v>173</v>
      </c>
      <c r="K22" s="8">
        <v>45457</v>
      </c>
      <c r="L22" s="8">
        <v>46935</v>
      </c>
      <c r="M22" s="9">
        <v>682.97</v>
      </c>
      <c r="N22" s="6" t="s">
        <v>37</v>
      </c>
      <c r="O22" s="6" t="s">
        <v>174</v>
      </c>
      <c r="P22" s="6"/>
      <c r="Q22" s="10" t="s">
        <v>175</v>
      </c>
      <c r="R22" s="6"/>
      <c r="S22" s="6"/>
      <c r="T22" s="6"/>
      <c r="U22" s="6"/>
      <c r="V22" s="6"/>
      <c r="W22" s="6"/>
      <c r="X22" s="6"/>
    </row>
    <row r="23" spans="1:24" ht="18" customHeight="1" x14ac:dyDescent="0.25">
      <c r="A23" s="6" t="s">
        <v>176</v>
      </c>
      <c r="B23" s="6" t="s">
        <v>177</v>
      </c>
      <c r="C23" s="6"/>
      <c r="D23" s="6" t="s">
        <v>178</v>
      </c>
      <c r="E23" s="6" t="s">
        <v>179</v>
      </c>
      <c r="F23" s="7">
        <v>60000</v>
      </c>
      <c r="G23" s="7"/>
      <c r="H23" s="6"/>
      <c r="I23" s="6" t="s">
        <v>180</v>
      </c>
      <c r="J23" s="11" t="s">
        <v>181</v>
      </c>
      <c r="K23" s="8">
        <v>45497</v>
      </c>
      <c r="L23" s="8">
        <v>46258</v>
      </c>
      <c r="M23" s="9">
        <v>1229.1600000000001</v>
      </c>
      <c r="N23" s="6" t="s">
        <v>180</v>
      </c>
      <c r="O23" s="6" t="s">
        <v>182</v>
      </c>
      <c r="P23" s="6" t="s">
        <v>178</v>
      </c>
      <c r="Q23" s="10" t="s">
        <v>183</v>
      </c>
      <c r="R23" s="6"/>
      <c r="S23" s="6"/>
      <c r="T23" s="6" t="s">
        <v>184</v>
      </c>
      <c r="U23" s="6" t="s">
        <v>41</v>
      </c>
      <c r="V23" s="6"/>
      <c r="W23" s="6"/>
      <c r="X23" s="6"/>
    </row>
    <row r="24" spans="1:24" ht="18" customHeight="1" x14ac:dyDescent="0.25">
      <c r="A24" s="6" t="s">
        <v>185</v>
      </c>
      <c r="B24" s="6" t="s">
        <v>186</v>
      </c>
      <c r="C24" s="6"/>
      <c r="D24" s="6" t="s">
        <v>187</v>
      </c>
      <c r="E24" s="6" t="s">
        <v>34</v>
      </c>
      <c r="F24" s="7">
        <v>20000</v>
      </c>
      <c r="G24" s="7"/>
      <c r="H24" s="6"/>
      <c r="I24" s="6"/>
      <c r="J24" s="15" t="s">
        <v>512</v>
      </c>
      <c r="K24" s="8">
        <v>45474</v>
      </c>
      <c r="L24" s="8">
        <v>46563</v>
      </c>
      <c r="M24" s="9">
        <v>278.95999999999998</v>
      </c>
      <c r="N24" s="6" t="s">
        <v>37</v>
      </c>
      <c r="O24" s="6" t="s">
        <v>188</v>
      </c>
      <c r="P24" s="6" t="s">
        <v>189</v>
      </c>
      <c r="Q24" s="10" t="s">
        <v>190</v>
      </c>
      <c r="R24" s="6"/>
      <c r="S24" s="6"/>
      <c r="T24" s="6" t="s">
        <v>191</v>
      </c>
      <c r="U24" s="6" t="s">
        <v>48</v>
      </c>
      <c r="V24" s="6"/>
      <c r="W24" s="6"/>
      <c r="X24" s="6"/>
    </row>
    <row r="25" spans="1:24" ht="18" customHeight="1" x14ac:dyDescent="0.25">
      <c r="A25" s="6" t="s">
        <v>192</v>
      </c>
      <c r="B25" s="6" t="s">
        <v>32</v>
      </c>
      <c r="C25" s="6"/>
      <c r="D25" s="6" t="s">
        <v>193</v>
      </c>
      <c r="E25" s="12" t="s">
        <v>503</v>
      </c>
      <c r="F25" s="7">
        <v>100000</v>
      </c>
      <c r="G25" s="7">
        <v>20000</v>
      </c>
      <c r="H25" s="6" t="s">
        <v>45</v>
      </c>
      <c r="I25" s="6"/>
      <c r="J25" s="11" t="s">
        <v>195</v>
      </c>
      <c r="K25" s="8">
        <v>45512</v>
      </c>
      <c r="L25" s="8">
        <v>46997</v>
      </c>
      <c r="M25" s="9">
        <v>740.8</v>
      </c>
      <c r="N25" s="6"/>
      <c r="O25" s="6" t="s">
        <v>196</v>
      </c>
      <c r="P25" s="6"/>
      <c r="Q25" s="10" t="s">
        <v>197</v>
      </c>
      <c r="R25" s="6"/>
      <c r="S25" s="6"/>
      <c r="T25" s="6"/>
      <c r="U25" s="6">
        <v>311531633</v>
      </c>
      <c r="V25" s="6" t="s">
        <v>198</v>
      </c>
      <c r="W25" s="6"/>
      <c r="X25" s="6"/>
    </row>
    <row r="26" spans="1:24" ht="18" customHeight="1" x14ac:dyDescent="0.25">
      <c r="A26" s="6" t="s">
        <v>199</v>
      </c>
      <c r="B26" s="6" t="s">
        <v>32</v>
      </c>
      <c r="C26" s="6"/>
      <c r="D26" s="6" t="s">
        <v>200</v>
      </c>
      <c r="E26" s="6" t="s">
        <v>201</v>
      </c>
      <c r="F26" s="7">
        <v>60000</v>
      </c>
      <c r="G26" s="7">
        <v>15000</v>
      </c>
      <c r="H26" s="6"/>
      <c r="I26" s="6" t="s">
        <v>202</v>
      </c>
      <c r="J26" s="11" t="s">
        <v>203</v>
      </c>
      <c r="K26" s="8">
        <v>45631</v>
      </c>
      <c r="L26" s="8">
        <v>46726</v>
      </c>
      <c r="M26" s="9">
        <v>553.83000000000004</v>
      </c>
      <c r="N26" s="6" t="s">
        <v>202</v>
      </c>
      <c r="O26" s="6" t="s">
        <v>204</v>
      </c>
      <c r="P26" s="6" t="s">
        <v>200</v>
      </c>
      <c r="Q26" s="10" t="s">
        <v>205</v>
      </c>
      <c r="R26" s="6"/>
      <c r="S26" s="6"/>
      <c r="T26" s="6" t="s">
        <v>206</v>
      </c>
      <c r="U26" s="6" t="s">
        <v>48</v>
      </c>
      <c r="V26" s="6"/>
      <c r="W26" s="6"/>
      <c r="X26" s="6"/>
    </row>
    <row r="27" spans="1:24" ht="18" customHeight="1" x14ac:dyDescent="0.25">
      <c r="A27" s="6" t="s">
        <v>207</v>
      </c>
      <c r="B27" s="6" t="s">
        <v>32</v>
      </c>
      <c r="C27" s="6"/>
      <c r="D27" s="6" t="s">
        <v>208</v>
      </c>
      <c r="E27" s="6" t="s">
        <v>201</v>
      </c>
      <c r="F27" s="7">
        <v>50000</v>
      </c>
      <c r="G27" s="7">
        <v>10000</v>
      </c>
      <c r="H27" s="6"/>
      <c r="I27" s="6" t="s">
        <v>209</v>
      </c>
      <c r="J27" s="11" t="s">
        <v>210</v>
      </c>
      <c r="K27" s="8">
        <v>45674</v>
      </c>
      <c r="L27" s="8">
        <v>46769</v>
      </c>
      <c r="M27" s="9">
        <v>399</v>
      </c>
      <c r="N27" s="6" t="s">
        <v>209</v>
      </c>
      <c r="O27" s="6" t="s">
        <v>211</v>
      </c>
      <c r="P27" s="6"/>
      <c r="Q27" s="10" t="s">
        <v>212</v>
      </c>
      <c r="R27" s="6"/>
      <c r="S27" s="6"/>
      <c r="T27" s="6"/>
      <c r="U27" s="6">
        <v>311531633</v>
      </c>
      <c r="V27" s="6" t="s">
        <v>213</v>
      </c>
      <c r="W27" s="6"/>
      <c r="X27" s="6"/>
    </row>
    <row r="28" spans="1:24" ht="18" customHeight="1" x14ac:dyDescent="0.25">
      <c r="A28" s="6" t="s">
        <v>214</v>
      </c>
      <c r="B28" s="6" t="s">
        <v>50</v>
      </c>
      <c r="C28" s="6"/>
      <c r="D28" s="6" t="s">
        <v>215</v>
      </c>
      <c r="E28" s="6" t="s">
        <v>216</v>
      </c>
      <c r="F28" s="7">
        <v>2000</v>
      </c>
      <c r="G28" s="7"/>
      <c r="H28" s="6"/>
      <c r="I28" s="6"/>
      <c r="J28" s="11" t="s">
        <v>217</v>
      </c>
      <c r="K28" s="8">
        <v>45609</v>
      </c>
      <c r="L28" s="8">
        <v>46295</v>
      </c>
      <c r="M28" s="9">
        <v>1150</v>
      </c>
      <c r="N28" s="6" t="s">
        <v>55</v>
      </c>
      <c r="O28" s="6"/>
      <c r="P28" s="6"/>
      <c r="Q28" s="10"/>
      <c r="R28" s="6"/>
      <c r="S28" s="6"/>
      <c r="T28" s="6"/>
      <c r="U28" s="6"/>
      <c r="V28" s="6"/>
      <c r="W28" s="6"/>
      <c r="X28" s="6"/>
    </row>
    <row r="29" spans="1:24" ht="18" customHeight="1" x14ac:dyDescent="0.25">
      <c r="A29" s="6" t="s">
        <v>218</v>
      </c>
      <c r="B29" s="6" t="s">
        <v>32</v>
      </c>
      <c r="C29" s="6"/>
      <c r="D29" s="6" t="s">
        <v>219</v>
      </c>
      <c r="E29" s="6" t="s">
        <v>220</v>
      </c>
      <c r="F29" s="7">
        <v>75000</v>
      </c>
      <c r="G29" s="7">
        <v>15000</v>
      </c>
      <c r="H29" s="6"/>
      <c r="I29" s="6" t="s">
        <v>221</v>
      </c>
      <c r="J29" s="11" t="s">
        <v>222</v>
      </c>
      <c r="K29" s="8">
        <v>45698</v>
      </c>
      <c r="L29" s="8">
        <v>46793</v>
      </c>
      <c r="M29" s="9">
        <v>565.79</v>
      </c>
      <c r="N29" s="6" t="s">
        <v>221</v>
      </c>
      <c r="O29" s="6" t="s">
        <v>223</v>
      </c>
      <c r="P29" s="6" t="s">
        <v>219</v>
      </c>
      <c r="Q29" s="10" t="s">
        <v>224</v>
      </c>
      <c r="R29" s="6"/>
      <c r="S29" s="6"/>
      <c r="T29" s="6" t="s">
        <v>225</v>
      </c>
      <c r="U29" s="6" t="s">
        <v>48</v>
      </c>
      <c r="V29" s="6"/>
      <c r="W29" s="6"/>
      <c r="X29" s="6"/>
    </row>
    <row r="30" spans="1:24" ht="18" customHeight="1" x14ac:dyDescent="0.25">
      <c r="A30" s="6" t="s">
        <v>226</v>
      </c>
      <c r="B30" s="6" t="s">
        <v>32</v>
      </c>
      <c r="C30" s="6"/>
      <c r="D30" s="6" t="s">
        <v>227</v>
      </c>
      <c r="E30" s="12" t="s">
        <v>501</v>
      </c>
      <c r="F30" s="7">
        <v>75000</v>
      </c>
      <c r="G30" s="7">
        <v>15000</v>
      </c>
      <c r="H30" s="6" t="s">
        <v>228</v>
      </c>
      <c r="I30" s="6"/>
      <c r="J30" s="11" t="s">
        <v>129</v>
      </c>
      <c r="K30" s="8">
        <v>45707</v>
      </c>
      <c r="L30" s="8">
        <v>46813</v>
      </c>
      <c r="M30" s="9">
        <v>463.05</v>
      </c>
      <c r="N30" s="6" t="s">
        <v>37</v>
      </c>
      <c r="O30" s="6" t="s">
        <v>229</v>
      </c>
      <c r="P30" s="6"/>
      <c r="Q30" s="10" t="s">
        <v>230</v>
      </c>
      <c r="R30" s="6"/>
      <c r="S30" s="6"/>
      <c r="T30" s="6"/>
      <c r="U30" s="6"/>
      <c r="V30" s="6"/>
      <c r="W30" s="6"/>
      <c r="X30" s="6"/>
    </row>
    <row r="31" spans="1:24" ht="18" customHeight="1" x14ac:dyDescent="0.25">
      <c r="A31" s="6" t="s">
        <v>231</v>
      </c>
      <c r="B31" s="6" t="s">
        <v>32</v>
      </c>
      <c r="C31" s="6"/>
      <c r="D31" s="6" t="s">
        <v>232</v>
      </c>
      <c r="E31" s="12" t="s">
        <v>505</v>
      </c>
      <c r="F31" s="7">
        <v>50000</v>
      </c>
      <c r="G31" s="7">
        <v>10000</v>
      </c>
      <c r="H31" s="6" t="s">
        <v>233</v>
      </c>
      <c r="I31" s="6"/>
      <c r="J31" s="11" t="s">
        <v>234</v>
      </c>
      <c r="K31" s="8">
        <v>45713</v>
      </c>
      <c r="L31" s="8">
        <v>46813</v>
      </c>
      <c r="M31" s="9">
        <v>399.53</v>
      </c>
      <c r="N31" s="6" t="s">
        <v>37</v>
      </c>
      <c r="O31" s="6" t="s">
        <v>235</v>
      </c>
      <c r="P31" s="6"/>
      <c r="Q31" s="10" t="s">
        <v>236</v>
      </c>
      <c r="R31" s="6"/>
      <c r="S31" s="6"/>
      <c r="T31" s="6" t="s">
        <v>237</v>
      </c>
      <c r="U31" s="6" t="s">
        <v>151</v>
      </c>
      <c r="V31" s="6"/>
      <c r="W31" s="6"/>
      <c r="X31" s="6"/>
    </row>
    <row r="32" spans="1:24" ht="18" customHeight="1" x14ac:dyDescent="0.25">
      <c r="A32" s="6" t="s">
        <v>238</v>
      </c>
      <c r="B32" s="6" t="s">
        <v>32</v>
      </c>
      <c r="C32" s="6"/>
      <c r="D32" s="6" t="s">
        <v>239</v>
      </c>
      <c r="E32" s="6" t="s">
        <v>485</v>
      </c>
      <c r="F32" s="7">
        <v>100000</v>
      </c>
      <c r="G32" s="7">
        <v>20000</v>
      </c>
      <c r="H32" s="6"/>
      <c r="I32" s="6" t="s">
        <v>240</v>
      </c>
      <c r="J32" s="11" t="s">
        <v>241</v>
      </c>
      <c r="K32" s="8">
        <v>45685</v>
      </c>
      <c r="L32" s="8">
        <v>45685</v>
      </c>
      <c r="M32" s="9">
        <v>441.27</v>
      </c>
      <c r="N32" s="6" t="s">
        <v>242</v>
      </c>
      <c r="O32" s="6" t="s">
        <v>243</v>
      </c>
      <c r="P32" s="6" t="s">
        <v>239</v>
      </c>
      <c r="Q32" s="10" t="s">
        <v>244</v>
      </c>
      <c r="R32" s="6"/>
      <c r="S32" s="6"/>
      <c r="T32" s="6"/>
      <c r="U32" s="6">
        <v>311531633</v>
      </c>
      <c r="V32" s="6" t="s">
        <v>245</v>
      </c>
      <c r="W32" s="6"/>
      <c r="X32" s="6"/>
    </row>
    <row r="33" spans="1:24" ht="47.25" customHeight="1" x14ac:dyDescent="0.25">
      <c r="A33" s="6" t="s">
        <v>246</v>
      </c>
      <c r="B33" s="6" t="s">
        <v>32</v>
      </c>
      <c r="C33" s="6"/>
      <c r="D33" s="6" t="s">
        <v>247</v>
      </c>
      <c r="E33" s="6" t="s">
        <v>194</v>
      </c>
      <c r="F33" s="7">
        <v>50000</v>
      </c>
      <c r="G33" s="7">
        <v>10000</v>
      </c>
      <c r="H33" s="6" t="s">
        <v>248</v>
      </c>
      <c r="I33" s="6"/>
      <c r="J33" s="11" t="s">
        <v>249</v>
      </c>
      <c r="K33" s="8">
        <v>45715</v>
      </c>
      <c r="L33" s="8">
        <v>46810</v>
      </c>
      <c r="M33" s="9">
        <v>483.6</v>
      </c>
      <c r="N33" s="6" t="s">
        <v>37</v>
      </c>
      <c r="O33" s="6" t="s">
        <v>250</v>
      </c>
      <c r="P33" s="6"/>
      <c r="Q33" s="10" t="s">
        <v>251</v>
      </c>
      <c r="S33" s="6"/>
      <c r="T33" s="6"/>
      <c r="U33" s="6"/>
      <c r="V33" s="6"/>
      <c r="W33" s="6"/>
      <c r="X33" s="14" t="s">
        <v>510</v>
      </c>
    </row>
    <row r="34" spans="1:24" ht="18" customHeight="1" x14ac:dyDescent="0.25">
      <c r="A34" s="6" t="s">
        <v>253</v>
      </c>
      <c r="B34" s="6" t="s">
        <v>32</v>
      </c>
      <c r="C34" s="6"/>
      <c r="D34" s="6" t="s">
        <v>254</v>
      </c>
      <c r="E34" s="6" t="s">
        <v>194</v>
      </c>
      <c r="F34" s="7">
        <v>75000</v>
      </c>
      <c r="G34" s="7">
        <v>15000</v>
      </c>
      <c r="H34" s="6" t="s">
        <v>248</v>
      </c>
      <c r="I34" s="6"/>
      <c r="J34" s="11" t="s">
        <v>255</v>
      </c>
      <c r="K34" s="8">
        <v>45733</v>
      </c>
      <c r="L34" s="8">
        <v>46844</v>
      </c>
      <c r="M34" s="9">
        <v>537.82000000000005</v>
      </c>
      <c r="N34" s="6" t="s">
        <v>37</v>
      </c>
      <c r="O34" s="6" t="s">
        <v>256</v>
      </c>
      <c r="P34" s="6"/>
      <c r="Q34" s="10" t="s">
        <v>257</v>
      </c>
      <c r="R34" s="6"/>
      <c r="S34" s="6"/>
      <c r="T34" s="6"/>
      <c r="U34" s="6"/>
      <c r="V34" s="6"/>
      <c r="W34" s="6"/>
      <c r="X34" s="6"/>
    </row>
    <row r="35" spans="1:24" ht="18" customHeight="1" x14ac:dyDescent="0.25">
      <c r="A35" s="6" t="s">
        <v>258</v>
      </c>
      <c r="B35" s="6" t="s">
        <v>32</v>
      </c>
      <c r="C35" s="6"/>
      <c r="D35" s="6" t="s">
        <v>259</v>
      </c>
      <c r="E35" s="12" t="s">
        <v>504</v>
      </c>
      <c r="F35" s="7">
        <v>75000</v>
      </c>
      <c r="G35" s="7">
        <v>15000</v>
      </c>
      <c r="H35" s="6" t="s">
        <v>248</v>
      </c>
      <c r="I35" s="6"/>
      <c r="J35" s="11" t="s">
        <v>260</v>
      </c>
      <c r="K35" s="8">
        <v>45733</v>
      </c>
      <c r="L35" s="8">
        <v>46844</v>
      </c>
      <c r="M35" s="9">
        <v>537.82000000000005</v>
      </c>
      <c r="N35" s="6" t="s">
        <v>37</v>
      </c>
      <c r="O35" s="6" t="s">
        <v>261</v>
      </c>
      <c r="P35" s="6"/>
      <c r="Q35" s="10" t="s">
        <v>262</v>
      </c>
      <c r="R35" s="6"/>
      <c r="S35" s="6"/>
      <c r="T35" s="6"/>
      <c r="U35" s="6">
        <v>311531633</v>
      </c>
      <c r="V35" s="6" t="s">
        <v>263</v>
      </c>
      <c r="W35" s="6"/>
      <c r="X35" s="6"/>
    </row>
    <row r="36" spans="1:24" ht="18" customHeight="1" x14ac:dyDescent="0.25">
      <c r="A36" s="6" t="s">
        <v>264</v>
      </c>
      <c r="B36" s="6" t="s">
        <v>265</v>
      </c>
      <c r="C36" s="6"/>
      <c r="D36" s="6" t="s">
        <v>266</v>
      </c>
      <c r="E36" s="6" t="s">
        <v>267</v>
      </c>
      <c r="F36" s="7">
        <v>120000</v>
      </c>
      <c r="G36" s="7"/>
      <c r="H36" s="6"/>
      <c r="I36" s="6" t="s">
        <v>268</v>
      </c>
      <c r="J36" s="11" t="s">
        <v>269</v>
      </c>
      <c r="K36" s="8">
        <v>45716</v>
      </c>
      <c r="L36" s="8">
        <v>47177</v>
      </c>
      <c r="M36" s="9">
        <v>867.2</v>
      </c>
      <c r="N36" s="6" t="s">
        <v>268</v>
      </c>
      <c r="O36" s="6" t="s">
        <v>270</v>
      </c>
      <c r="P36" s="6" t="s">
        <v>266</v>
      </c>
      <c r="Q36" s="10" t="s">
        <v>271</v>
      </c>
      <c r="R36" s="6"/>
      <c r="S36" s="6"/>
      <c r="T36" s="6"/>
      <c r="U36" s="6">
        <v>311531633</v>
      </c>
      <c r="V36" s="6" t="s">
        <v>272</v>
      </c>
      <c r="W36" s="6"/>
      <c r="X36" s="6"/>
    </row>
    <row r="37" spans="1:24" ht="18" customHeight="1" x14ac:dyDescent="0.25">
      <c r="A37" s="6" t="s">
        <v>273</v>
      </c>
      <c r="B37" s="6" t="s">
        <v>32</v>
      </c>
      <c r="C37" s="6"/>
      <c r="D37" s="6" t="s">
        <v>274</v>
      </c>
      <c r="E37" s="6" t="s">
        <v>275</v>
      </c>
      <c r="F37" s="7" t="s">
        <v>25</v>
      </c>
      <c r="G37" s="7"/>
      <c r="H37" s="6" t="s">
        <v>511</v>
      </c>
      <c r="I37" s="6"/>
      <c r="J37" s="11" t="s">
        <v>276</v>
      </c>
      <c r="K37" s="8">
        <v>45911</v>
      </c>
      <c r="L37" s="8">
        <v>47027</v>
      </c>
      <c r="M37" s="9">
        <v>491.25</v>
      </c>
      <c r="N37" s="6" t="s">
        <v>37</v>
      </c>
      <c r="O37" s="6" t="s">
        <v>277</v>
      </c>
      <c r="P37" s="6"/>
      <c r="Q37" s="10" t="s">
        <v>278</v>
      </c>
      <c r="R37" s="6"/>
      <c r="S37" s="6"/>
      <c r="T37" s="6"/>
      <c r="U37" s="6">
        <v>311531633</v>
      </c>
      <c r="V37" s="6" t="s">
        <v>279</v>
      </c>
      <c r="W37" s="6"/>
      <c r="X37" s="6" t="s">
        <v>280</v>
      </c>
    </row>
    <row r="38" spans="1:24" ht="18" customHeight="1" x14ac:dyDescent="0.25">
      <c r="A38" s="6" t="s">
        <v>281</v>
      </c>
      <c r="B38" s="6" t="s">
        <v>32</v>
      </c>
      <c r="C38" s="6"/>
      <c r="D38" s="6" t="s">
        <v>282</v>
      </c>
      <c r="E38" s="6" t="s">
        <v>275</v>
      </c>
      <c r="F38" s="7">
        <v>100000</v>
      </c>
      <c r="G38" s="7"/>
      <c r="H38" s="6"/>
      <c r="I38" s="6" t="s">
        <v>283</v>
      </c>
      <c r="J38" s="11" t="s">
        <v>284</v>
      </c>
      <c r="K38" s="8">
        <v>45910</v>
      </c>
      <c r="L38" s="8">
        <v>47027</v>
      </c>
      <c r="M38" s="9">
        <v>491.25</v>
      </c>
      <c r="N38" s="6" t="s">
        <v>285</v>
      </c>
      <c r="O38" s="6" t="s">
        <v>286</v>
      </c>
      <c r="P38" s="6"/>
      <c r="Q38" s="10" t="s">
        <v>287</v>
      </c>
      <c r="R38" s="6"/>
      <c r="S38" s="6"/>
      <c r="T38" s="6"/>
      <c r="U38" s="6">
        <v>311531633</v>
      </c>
      <c r="V38" s="6" t="s">
        <v>288</v>
      </c>
      <c r="W38" s="6"/>
      <c r="X38" s="6"/>
    </row>
    <row r="39" spans="1:24" ht="18" customHeight="1" x14ac:dyDescent="0.25">
      <c r="A39" s="6" t="s">
        <v>289</v>
      </c>
      <c r="B39" s="6" t="s">
        <v>290</v>
      </c>
      <c r="C39" s="6"/>
      <c r="D39" s="6" t="s">
        <v>291</v>
      </c>
      <c r="E39" s="6" t="s">
        <v>292</v>
      </c>
      <c r="F39" s="7">
        <v>100000</v>
      </c>
      <c r="G39" s="7"/>
      <c r="H39" s="6"/>
      <c r="I39" s="6" t="s">
        <v>293</v>
      </c>
      <c r="J39" s="11" t="s">
        <v>294</v>
      </c>
      <c r="K39" s="8">
        <v>45348</v>
      </c>
      <c r="L39" s="8">
        <v>46809</v>
      </c>
      <c r="M39" s="9">
        <v>449</v>
      </c>
      <c r="N39" s="6" t="s">
        <v>295</v>
      </c>
      <c r="O39" s="6" t="s">
        <v>296</v>
      </c>
      <c r="P39" s="6"/>
      <c r="Q39" s="10" t="s">
        <v>297</v>
      </c>
      <c r="R39" s="6"/>
      <c r="S39" s="6"/>
      <c r="T39" s="6"/>
      <c r="U39" s="6">
        <v>311531633</v>
      </c>
      <c r="V39" s="6" t="s">
        <v>298</v>
      </c>
      <c r="W39" s="6"/>
      <c r="X39" s="6"/>
    </row>
    <row r="40" spans="1:24" ht="18" customHeight="1" x14ac:dyDescent="0.25">
      <c r="A40" s="6" t="s">
        <v>299</v>
      </c>
      <c r="B40" s="6" t="s">
        <v>32</v>
      </c>
      <c r="C40" s="6"/>
      <c r="D40" s="6" t="s">
        <v>300</v>
      </c>
      <c r="E40" s="6" t="s">
        <v>301</v>
      </c>
      <c r="F40" s="7">
        <v>90000</v>
      </c>
      <c r="G40" s="7"/>
      <c r="H40" s="6"/>
      <c r="I40" s="6" t="s">
        <v>302</v>
      </c>
      <c r="J40" s="11" t="s">
        <v>303</v>
      </c>
      <c r="K40" s="8">
        <v>45932</v>
      </c>
      <c r="L40" s="8">
        <v>47028</v>
      </c>
      <c r="M40" s="9">
        <v>518.48</v>
      </c>
      <c r="N40" s="6" t="s">
        <v>304</v>
      </c>
      <c r="O40" s="6" t="s">
        <v>305</v>
      </c>
      <c r="P40" s="6"/>
      <c r="Q40" s="10" t="s">
        <v>306</v>
      </c>
      <c r="R40" s="6"/>
      <c r="S40" s="6"/>
      <c r="T40" s="6"/>
      <c r="U40" s="6">
        <v>311531633</v>
      </c>
      <c r="V40" s="6" t="s">
        <v>307</v>
      </c>
      <c r="W40" s="6"/>
      <c r="X40" s="6"/>
    </row>
    <row r="41" spans="1:24" ht="18" customHeight="1" x14ac:dyDescent="0.25">
      <c r="A41" s="6" t="s">
        <v>308</v>
      </c>
      <c r="B41" s="6" t="s">
        <v>32</v>
      </c>
      <c r="C41" s="6"/>
      <c r="D41" s="6" t="s">
        <v>309</v>
      </c>
      <c r="E41" s="6" t="s">
        <v>301</v>
      </c>
      <c r="F41" s="7">
        <v>90000</v>
      </c>
      <c r="G41" s="7"/>
      <c r="H41" s="6"/>
      <c r="I41" s="6" t="s">
        <v>310</v>
      </c>
      <c r="J41" s="11" t="s">
        <v>311</v>
      </c>
      <c r="K41" s="8">
        <v>45933</v>
      </c>
      <c r="L41" s="8">
        <v>47028</v>
      </c>
      <c r="M41" s="9">
        <v>518.48</v>
      </c>
      <c r="N41" s="6" t="s">
        <v>312</v>
      </c>
      <c r="O41" s="6" t="s">
        <v>313</v>
      </c>
      <c r="P41" s="6"/>
      <c r="Q41" s="10" t="s">
        <v>314</v>
      </c>
      <c r="R41" s="6"/>
      <c r="S41" s="6"/>
      <c r="T41" s="6"/>
      <c r="U41" s="6">
        <v>311531633</v>
      </c>
      <c r="V41" s="6" t="s">
        <v>315</v>
      </c>
      <c r="W41" s="6"/>
      <c r="X41" s="6"/>
    </row>
    <row r="42" spans="1:24" ht="18" customHeight="1" x14ac:dyDescent="0.25">
      <c r="A42" s="6" t="s">
        <v>316</v>
      </c>
      <c r="B42" s="6" t="s">
        <v>32</v>
      </c>
      <c r="C42" s="6"/>
      <c r="D42" s="6" t="s">
        <v>317</v>
      </c>
      <c r="E42" s="12" t="s">
        <v>506</v>
      </c>
      <c r="F42" s="7">
        <v>90000</v>
      </c>
      <c r="G42" s="7"/>
      <c r="H42" s="6" t="s">
        <v>248</v>
      </c>
      <c r="I42" s="6"/>
      <c r="J42" s="11" t="s">
        <v>318</v>
      </c>
      <c r="K42" s="8">
        <v>45937</v>
      </c>
      <c r="L42" s="8">
        <v>47058</v>
      </c>
      <c r="M42" s="9">
        <v>612.07000000000005</v>
      </c>
      <c r="N42" s="6" t="s">
        <v>37</v>
      </c>
      <c r="O42" s="6" t="s">
        <v>319</v>
      </c>
      <c r="P42" s="6"/>
      <c r="Q42" s="10" t="s">
        <v>57</v>
      </c>
      <c r="R42" s="6" t="s">
        <v>252</v>
      </c>
      <c r="S42" s="6"/>
      <c r="T42" s="6"/>
      <c r="U42" s="6">
        <v>311531633</v>
      </c>
      <c r="V42" s="6" t="s">
        <v>320</v>
      </c>
      <c r="W42" s="6"/>
      <c r="X42" s="6"/>
    </row>
    <row r="43" spans="1:24" ht="18" customHeight="1" x14ac:dyDescent="0.25">
      <c r="A43" s="6" t="s">
        <v>321</v>
      </c>
      <c r="B43" s="6" t="s">
        <v>32</v>
      </c>
      <c r="C43" s="6"/>
      <c r="D43" s="6" t="s">
        <v>322</v>
      </c>
      <c r="E43" s="6" t="s">
        <v>44</v>
      </c>
      <c r="F43" s="7">
        <v>120000</v>
      </c>
      <c r="G43" s="7"/>
      <c r="H43" s="6"/>
      <c r="I43" s="6" t="s">
        <v>323</v>
      </c>
      <c r="J43" s="11" t="s">
        <v>324</v>
      </c>
      <c r="K43" s="8">
        <v>45950</v>
      </c>
      <c r="L43" s="8">
        <v>47046</v>
      </c>
      <c r="M43" s="9">
        <v>405.37</v>
      </c>
      <c r="N43" s="6"/>
      <c r="O43" s="6" t="s">
        <v>325</v>
      </c>
      <c r="P43" s="6"/>
      <c r="Q43" s="10" t="s">
        <v>326</v>
      </c>
      <c r="R43" s="6"/>
      <c r="S43" s="6"/>
      <c r="T43" s="6"/>
      <c r="U43" s="6">
        <v>311531633</v>
      </c>
      <c r="V43" s="6" t="s">
        <v>327</v>
      </c>
      <c r="W43" s="6"/>
      <c r="X43" s="6"/>
    </row>
    <row r="44" spans="1:24" ht="18" customHeight="1" x14ac:dyDescent="0.25">
      <c r="A44" s="6" t="s">
        <v>328</v>
      </c>
      <c r="B44" s="6" t="s">
        <v>32</v>
      </c>
      <c r="C44" s="6"/>
      <c r="D44" s="6" t="s">
        <v>329</v>
      </c>
      <c r="E44" s="12" t="s">
        <v>506</v>
      </c>
      <c r="F44" s="7">
        <v>90000</v>
      </c>
      <c r="G44" s="7"/>
      <c r="H44" s="6"/>
      <c r="I44" s="6"/>
      <c r="J44" s="11" t="s">
        <v>330</v>
      </c>
      <c r="K44" s="8">
        <v>45961</v>
      </c>
      <c r="L44" s="8">
        <v>47058</v>
      </c>
      <c r="M44" s="9">
        <v>612.07000000000005</v>
      </c>
      <c r="N44" s="6" t="s">
        <v>37</v>
      </c>
      <c r="O44" s="6" t="s">
        <v>331</v>
      </c>
      <c r="P44" s="6"/>
      <c r="Q44" s="10" t="s">
        <v>332</v>
      </c>
      <c r="R44" s="6"/>
      <c r="S44" s="6"/>
      <c r="T44" s="6"/>
      <c r="U44" s="6">
        <v>311531633</v>
      </c>
      <c r="V44" s="6" t="s">
        <v>333</v>
      </c>
      <c r="W44" s="6"/>
      <c r="X44" s="6"/>
    </row>
    <row r="45" spans="1:24" ht="18" customHeight="1" x14ac:dyDescent="0.25">
      <c r="A45" s="6" t="s">
        <v>334</v>
      </c>
      <c r="B45" s="6" t="s">
        <v>32</v>
      </c>
      <c r="C45" s="6"/>
      <c r="D45" s="6" t="s">
        <v>335</v>
      </c>
      <c r="E45" s="6" t="s">
        <v>336</v>
      </c>
      <c r="F45" s="7">
        <v>75000</v>
      </c>
      <c r="G45" s="7">
        <v>15000</v>
      </c>
      <c r="H45" s="6" t="s">
        <v>337</v>
      </c>
      <c r="I45" s="6"/>
      <c r="J45" s="11" t="s">
        <v>338</v>
      </c>
      <c r="K45" s="8">
        <v>45978</v>
      </c>
      <c r="L45" s="8">
        <v>47074</v>
      </c>
      <c r="M45" s="9">
        <v>468.47</v>
      </c>
      <c r="N45" s="6" t="s">
        <v>37</v>
      </c>
      <c r="O45" s="6" t="s">
        <v>339</v>
      </c>
      <c r="P45" s="6"/>
      <c r="Q45" s="10" t="s">
        <v>340</v>
      </c>
      <c r="R45" s="6"/>
      <c r="S45" s="6"/>
      <c r="T45" s="6"/>
      <c r="U45" s="6">
        <v>311531633</v>
      </c>
      <c r="V45" s="6" t="s">
        <v>30</v>
      </c>
      <c r="W45" s="6"/>
      <c r="X45" s="6"/>
    </row>
    <row r="46" spans="1:24" ht="18" customHeight="1" x14ac:dyDescent="0.25">
      <c r="A46" s="6" t="s">
        <v>341</v>
      </c>
      <c r="B46" s="6" t="s">
        <v>32</v>
      </c>
      <c r="C46" s="6"/>
      <c r="D46" s="6" t="s">
        <v>342</v>
      </c>
      <c r="E46" s="6" t="s">
        <v>343</v>
      </c>
      <c r="F46" s="7">
        <v>75000</v>
      </c>
      <c r="G46" s="7">
        <v>15000</v>
      </c>
      <c r="H46" s="6"/>
      <c r="I46" s="6" t="s">
        <v>344</v>
      </c>
      <c r="J46" s="11" t="s">
        <v>345</v>
      </c>
      <c r="K46" s="8">
        <v>45995</v>
      </c>
      <c r="L46" s="8">
        <v>47091</v>
      </c>
      <c r="M46" s="9">
        <v>487.4</v>
      </c>
      <c r="N46" s="6" t="s">
        <v>346</v>
      </c>
      <c r="O46" s="6" t="s">
        <v>347</v>
      </c>
      <c r="P46" s="6" t="s">
        <v>342</v>
      </c>
      <c r="Q46" s="10" t="s">
        <v>348</v>
      </c>
      <c r="R46" s="6"/>
      <c r="S46" s="6"/>
      <c r="T46" s="6" t="s">
        <v>47</v>
      </c>
      <c r="U46" s="6" t="s">
        <v>48</v>
      </c>
      <c r="V46" s="6"/>
      <c r="W46" s="6"/>
      <c r="X46" s="6"/>
    </row>
    <row r="47" spans="1:24" ht="18" customHeight="1" x14ac:dyDescent="0.25">
      <c r="A47" s="6" t="s">
        <v>349</v>
      </c>
      <c r="B47" s="6" t="s">
        <v>50</v>
      </c>
      <c r="C47" s="6"/>
      <c r="D47" s="12" t="s">
        <v>350</v>
      </c>
      <c r="E47" s="12" t="s">
        <v>486</v>
      </c>
      <c r="F47" s="7">
        <f>30000*3</f>
        <v>90000</v>
      </c>
      <c r="G47" s="7"/>
      <c r="H47" s="12" t="s">
        <v>487</v>
      </c>
      <c r="I47" s="6"/>
      <c r="J47" s="15" t="s">
        <v>513</v>
      </c>
      <c r="K47" s="8">
        <v>45411</v>
      </c>
      <c r="L47" s="8">
        <v>46507</v>
      </c>
      <c r="M47" s="9">
        <v>950</v>
      </c>
      <c r="N47" s="6"/>
      <c r="O47" s="6"/>
      <c r="P47" s="6"/>
      <c r="Q47" s="10"/>
      <c r="R47" s="6" t="s">
        <v>351</v>
      </c>
      <c r="S47" s="6" t="s">
        <v>352</v>
      </c>
      <c r="T47" s="6"/>
      <c r="U47" s="6">
        <v>311531633</v>
      </c>
      <c r="V47" s="6" t="s">
        <v>353</v>
      </c>
      <c r="W47" s="6"/>
      <c r="X47" s="6"/>
    </row>
    <row r="48" spans="1:24" ht="18" customHeight="1" x14ac:dyDescent="0.25">
      <c r="A48" s="6" t="s">
        <v>354</v>
      </c>
      <c r="B48" s="6" t="s">
        <v>50</v>
      </c>
      <c r="C48" s="6"/>
      <c r="D48" s="12" t="s">
        <v>355</v>
      </c>
      <c r="E48" s="12" t="s">
        <v>508</v>
      </c>
      <c r="G48" s="7"/>
      <c r="H48" s="6" t="s">
        <v>6</v>
      </c>
      <c r="I48" s="6"/>
      <c r="J48" s="15" t="s">
        <v>515</v>
      </c>
      <c r="K48" s="8">
        <v>45748</v>
      </c>
      <c r="L48" s="11" t="s">
        <v>514</v>
      </c>
      <c r="M48" s="7">
        <v>1618</v>
      </c>
      <c r="N48" s="6"/>
      <c r="O48" s="6"/>
      <c r="P48" s="6"/>
      <c r="Q48" s="10"/>
      <c r="R48" s="6" t="s">
        <v>356</v>
      </c>
      <c r="S48" s="6" t="s">
        <v>357</v>
      </c>
      <c r="T48" s="6"/>
      <c r="U48" s="6">
        <v>311531633</v>
      </c>
      <c r="V48" s="6" t="s">
        <v>358</v>
      </c>
      <c r="W48" s="6"/>
      <c r="X48" s="6"/>
    </row>
    <row r="49" spans="1:24" ht="18" customHeight="1" x14ac:dyDescent="0.25">
      <c r="A49" s="6" t="s">
        <v>359</v>
      </c>
      <c r="B49" s="6" t="s">
        <v>186</v>
      </c>
      <c r="C49" s="6"/>
      <c r="D49" s="12" t="s">
        <v>360</v>
      </c>
      <c r="E49" s="6" t="s">
        <v>361</v>
      </c>
      <c r="G49" s="7"/>
      <c r="H49" s="6" t="s">
        <v>6</v>
      </c>
      <c r="I49" s="6"/>
      <c r="J49" s="15" t="s">
        <v>516</v>
      </c>
      <c r="K49" s="8">
        <v>44971</v>
      </c>
      <c r="L49" s="8">
        <v>46431</v>
      </c>
      <c r="M49" s="7">
        <v>374</v>
      </c>
      <c r="N49" s="6"/>
      <c r="O49" s="6"/>
      <c r="P49" s="6"/>
      <c r="Q49" s="10"/>
      <c r="R49" s="6" t="s">
        <v>362</v>
      </c>
      <c r="S49" s="6"/>
      <c r="T49" s="6"/>
      <c r="U49" s="6"/>
      <c r="V49" s="6"/>
      <c r="W49" s="6"/>
      <c r="X49" s="6"/>
    </row>
    <row r="50" spans="1:24" ht="18" customHeight="1" x14ac:dyDescent="0.25">
      <c r="A50" s="6" t="s">
        <v>363</v>
      </c>
      <c r="B50" s="6" t="s">
        <v>186</v>
      </c>
      <c r="C50" s="6"/>
      <c r="D50" s="12" t="s">
        <v>364</v>
      </c>
      <c r="E50" s="12" t="s">
        <v>488</v>
      </c>
      <c r="F50" s="7">
        <v>100000</v>
      </c>
      <c r="G50" s="7"/>
      <c r="H50" s="6"/>
      <c r="I50" s="6" t="s">
        <v>365</v>
      </c>
      <c r="J50" s="11">
        <v>532705</v>
      </c>
      <c r="K50" s="8">
        <v>45126</v>
      </c>
      <c r="L50" s="8">
        <v>46586</v>
      </c>
      <c r="M50" s="9">
        <v>692</v>
      </c>
      <c r="N50" s="6"/>
      <c r="O50" s="6"/>
      <c r="P50" s="6"/>
      <c r="Q50" s="10"/>
      <c r="R50" s="6" t="s">
        <v>366</v>
      </c>
      <c r="S50" s="6" t="s">
        <v>367</v>
      </c>
      <c r="T50" s="6"/>
      <c r="U50" s="6">
        <v>311531633</v>
      </c>
      <c r="V50" s="6" t="s">
        <v>368</v>
      </c>
      <c r="W50" s="6"/>
      <c r="X50" s="12" t="s">
        <v>489</v>
      </c>
    </row>
    <row r="51" spans="1:24" ht="18" customHeight="1" x14ac:dyDescent="0.25">
      <c r="A51" s="6" t="s">
        <v>369</v>
      </c>
      <c r="B51" s="6" t="s">
        <v>32</v>
      </c>
      <c r="C51" s="6"/>
      <c r="D51" s="12" t="s">
        <v>370</v>
      </c>
      <c r="E51" s="12" t="s">
        <v>490</v>
      </c>
      <c r="F51" s="7">
        <v>60000</v>
      </c>
      <c r="G51" s="7">
        <v>15000</v>
      </c>
      <c r="H51" s="6"/>
      <c r="I51" s="6" t="s">
        <v>371</v>
      </c>
      <c r="J51" s="11">
        <v>1203077087</v>
      </c>
      <c r="K51" s="8">
        <v>45561</v>
      </c>
      <c r="L51" s="8">
        <v>46655</v>
      </c>
      <c r="M51" s="9">
        <v>376.03</v>
      </c>
      <c r="N51" s="6"/>
      <c r="O51" s="6"/>
      <c r="P51" s="6"/>
      <c r="Q51" s="10"/>
      <c r="R51" s="6" t="s">
        <v>372</v>
      </c>
      <c r="S51" s="6" t="s">
        <v>373</v>
      </c>
      <c r="T51" s="6"/>
      <c r="U51" s="6"/>
      <c r="V51" s="6"/>
      <c r="W51" s="6"/>
      <c r="X51" s="6"/>
    </row>
    <row r="52" spans="1:24" ht="18" customHeight="1" x14ac:dyDescent="0.25">
      <c r="A52" s="6" t="s">
        <v>374</v>
      </c>
      <c r="B52" s="6" t="s">
        <v>32</v>
      </c>
      <c r="C52" s="6"/>
      <c r="D52" s="12" t="s">
        <v>375</v>
      </c>
      <c r="E52" s="12" t="s">
        <v>491</v>
      </c>
      <c r="F52" s="7">
        <v>85000</v>
      </c>
      <c r="G52" s="7">
        <v>20000</v>
      </c>
      <c r="H52" s="6" t="s">
        <v>376</v>
      </c>
      <c r="I52" s="6"/>
      <c r="J52" s="11">
        <v>203077086</v>
      </c>
      <c r="K52" s="8">
        <v>45600</v>
      </c>
      <c r="L52" s="8">
        <v>46722</v>
      </c>
      <c r="M52" s="9">
        <v>619.69000000000005</v>
      </c>
      <c r="N52" s="6"/>
      <c r="O52" s="6"/>
      <c r="P52" s="6"/>
      <c r="Q52" s="10"/>
      <c r="R52" s="6" t="s">
        <v>377</v>
      </c>
      <c r="S52" s="6" t="s">
        <v>378</v>
      </c>
      <c r="T52" s="6"/>
      <c r="U52" s="6">
        <v>311531633</v>
      </c>
      <c r="V52" s="6" t="s">
        <v>379</v>
      </c>
      <c r="W52" s="6"/>
      <c r="X52" s="6"/>
    </row>
    <row r="53" spans="1:24" ht="18" customHeight="1" x14ac:dyDescent="0.25">
      <c r="A53" s="6" t="s">
        <v>380</v>
      </c>
      <c r="B53" s="6" t="s">
        <v>32</v>
      </c>
      <c r="C53" s="6"/>
      <c r="D53" s="6" t="s">
        <v>381</v>
      </c>
      <c r="E53" s="6" t="s">
        <v>382</v>
      </c>
      <c r="F53" s="7">
        <v>60000</v>
      </c>
      <c r="G53" s="7">
        <v>15000</v>
      </c>
      <c r="H53" s="6"/>
      <c r="I53" s="6" t="s">
        <v>383</v>
      </c>
      <c r="J53" s="11">
        <v>1203235585</v>
      </c>
      <c r="K53" s="8">
        <v>45649</v>
      </c>
      <c r="L53" s="8">
        <v>46744</v>
      </c>
      <c r="M53" s="9">
        <v>415</v>
      </c>
      <c r="N53" s="6"/>
      <c r="O53" s="6"/>
      <c r="P53" s="6"/>
      <c r="Q53" s="10"/>
      <c r="R53" s="6" t="s">
        <v>384</v>
      </c>
      <c r="S53" s="6" t="s">
        <v>385</v>
      </c>
      <c r="T53" s="6"/>
      <c r="U53" s="6">
        <v>311531633</v>
      </c>
      <c r="V53" s="6" t="s">
        <v>386</v>
      </c>
      <c r="W53" s="6"/>
      <c r="X53" s="6"/>
    </row>
    <row r="54" spans="1:24" ht="18" customHeight="1" x14ac:dyDescent="0.25">
      <c r="A54" s="6" t="s">
        <v>387</v>
      </c>
      <c r="B54" s="6" t="s">
        <v>32</v>
      </c>
      <c r="C54" s="6"/>
      <c r="D54" s="12" t="s">
        <v>388</v>
      </c>
      <c r="E54" s="12" t="s">
        <v>492</v>
      </c>
      <c r="F54" s="7">
        <v>100000</v>
      </c>
      <c r="G54" s="7">
        <v>20000</v>
      </c>
      <c r="H54" s="6" t="s">
        <v>389</v>
      </c>
      <c r="I54" s="6"/>
      <c r="J54" s="11">
        <v>1203268748</v>
      </c>
      <c r="K54" s="8">
        <v>45754</v>
      </c>
      <c r="L54" s="8">
        <v>46874</v>
      </c>
      <c r="M54" s="9">
        <v>613.41</v>
      </c>
      <c r="N54" s="6"/>
      <c r="O54" s="6"/>
      <c r="P54" s="6"/>
      <c r="Q54" s="10"/>
      <c r="R54" s="6" t="s">
        <v>390</v>
      </c>
      <c r="S54" s="6" t="s">
        <v>391</v>
      </c>
      <c r="T54" s="6"/>
      <c r="U54" s="6">
        <v>311531633</v>
      </c>
      <c r="V54" s="6" t="s">
        <v>392</v>
      </c>
      <c r="W54" s="6"/>
      <c r="X54" s="6"/>
    </row>
    <row r="55" spans="1:24" ht="18" customHeight="1" x14ac:dyDescent="0.25">
      <c r="A55" s="6" t="s">
        <v>393</v>
      </c>
      <c r="B55" s="6" t="s">
        <v>32</v>
      </c>
      <c r="C55" s="6"/>
      <c r="D55" s="6" t="s">
        <v>394</v>
      </c>
      <c r="E55" s="6" t="s">
        <v>517</v>
      </c>
      <c r="F55" s="7">
        <v>100000</v>
      </c>
      <c r="G55" s="7">
        <v>20000</v>
      </c>
      <c r="H55" s="6" t="s">
        <v>395</v>
      </c>
      <c r="I55" s="6"/>
      <c r="J55" s="11">
        <v>1203278935</v>
      </c>
      <c r="K55" s="8">
        <v>45685</v>
      </c>
      <c r="L55" s="8">
        <v>46784</v>
      </c>
      <c r="M55" s="9">
        <v>587.42999999999995</v>
      </c>
      <c r="N55" s="6"/>
      <c r="O55" s="6"/>
      <c r="P55" s="6"/>
      <c r="Q55" s="10"/>
      <c r="R55" s="6" t="s">
        <v>396</v>
      </c>
      <c r="S55" s="6" t="s">
        <v>397</v>
      </c>
      <c r="T55" s="6"/>
      <c r="U55" s="6">
        <v>311531633</v>
      </c>
      <c r="V55" s="6" t="s">
        <v>398</v>
      </c>
      <c r="W55" s="6"/>
      <c r="X55" s="6"/>
    </row>
    <row r="56" spans="1:24" ht="18" customHeight="1" x14ac:dyDescent="0.25">
      <c r="A56" s="6" t="s">
        <v>399</v>
      </c>
      <c r="B56" s="6" t="s">
        <v>32</v>
      </c>
      <c r="C56" s="6"/>
      <c r="D56" s="6" t="s">
        <v>400</v>
      </c>
      <c r="E56" s="6" t="s">
        <v>507</v>
      </c>
      <c r="F56" s="7">
        <v>100000</v>
      </c>
      <c r="G56" s="7">
        <v>20000</v>
      </c>
      <c r="H56" s="6" t="s">
        <v>6</v>
      </c>
      <c r="I56" s="6"/>
      <c r="J56" s="11">
        <v>1203268747</v>
      </c>
      <c r="K56" s="8">
        <v>45754</v>
      </c>
      <c r="L56" s="8">
        <v>46874</v>
      </c>
      <c r="M56" s="13"/>
      <c r="N56" s="6"/>
      <c r="O56" s="6"/>
      <c r="P56" s="6"/>
      <c r="Q56" s="10"/>
      <c r="R56" s="6" t="s">
        <v>401</v>
      </c>
      <c r="S56" s="6" t="s">
        <v>402</v>
      </c>
      <c r="T56" s="6"/>
      <c r="U56" s="6"/>
      <c r="V56" s="6"/>
      <c r="W56" s="6"/>
      <c r="X56" s="6"/>
    </row>
    <row r="57" spans="1:24" ht="18" customHeight="1" x14ac:dyDescent="0.25">
      <c r="A57" s="6" t="s">
        <v>403</v>
      </c>
      <c r="B57" s="6" t="s">
        <v>521</v>
      </c>
      <c r="C57" s="6"/>
      <c r="D57" s="12" t="s">
        <v>404</v>
      </c>
      <c r="E57" s="6" t="s">
        <v>405</v>
      </c>
      <c r="F57" s="7">
        <v>160000</v>
      </c>
      <c r="G57" s="7"/>
      <c r="H57" s="6"/>
      <c r="I57" s="6" t="s">
        <v>406</v>
      </c>
      <c r="J57" s="17"/>
      <c r="K57" s="8">
        <v>45756</v>
      </c>
      <c r="L57" s="11" t="s">
        <v>518</v>
      </c>
      <c r="M57" s="9">
        <v>754.96</v>
      </c>
      <c r="N57" s="6"/>
      <c r="O57" s="6"/>
      <c r="P57" s="6"/>
      <c r="Q57" s="10"/>
      <c r="R57" s="6" t="s">
        <v>407</v>
      </c>
      <c r="S57" s="6" t="s">
        <v>408</v>
      </c>
      <c r="T57" s="6"/>
      <c r="U57" s="6">
        <v>311531633</v>
      </c>
      <c r="V57" s="6" t="s">
        <v>409</v>
      </c>
      <c r="W57" s="6"/>
      <c r="X57" s="6"/>
    </row>
    <row r="58" spans="1:24" ht="18" customHeight="1" x14ac:dyDescent="0.25">
      <c r="A58" s="6" t="s">
        <v>410</v>
      </c>
      <c r="B58" s="6" t="s">
        <v>32</v>
      </c>
      <c r="C58" s="6"/>
      <c r="D58" s="12" t="s">
        <v>411</v>
      </c>
      <c r="E58" s="12" t="s">
        <v>412</v>
      </c>
      <c r="F58" s="7">
        <v>60000</v>
      </c>
      <c r="G58" s="7">
        <v>15000</v>
      </c>
      <c r="H58" s="6"/>
      <c r="I58" s="6" t="s">
        <v>413</v>
      </c>
      <c r="J58" s="11">
        <v>1203098223</v>
      </c>
      <c r="K58" s="8">
        <v>45568</v>
      </c>
      <c r="L58" s="8">
        <v>46692</v>
      </c>
      <c r="M58" s="9">
        <v>495.02</v>
      </c>
      <c r="N58" s="6"/>
      <c r="O58" s="6"/>
      <c r="P58" s="6"/>
      <c r="Q58" s="10"/>
      <c r="R58" s="6" t="s">
        <v>414</v>
      </c>
      <c r="S58" s="6" t="s">
        <v>415</v>
      </c>
      <c r="T58" s="6"/>
      <c r="U58" s="6">
        <v>311531633</v>
      </c>
      <c r="V58" s="6" t="s">
        <v>416</v>
      </c>
      <c r="W58" s="6"/>
      <c r="X58" s="6"/>
    </row>
    <row r="59" spans="1:24" ht="18" customHeight="1" x14ac:dyDescent="0.25">
      <c r="A59" s="6" t="s">
        <v>417</v>
      </c>
      <c r="B59" s="6" t="s">
        <v>50</v>
      </c>
      <c r="C59" s="6"/>
      <c r="D59" s="6" t="s">
        <v>418</v>
      </c>
      <c r="E59" s="6" t="s">
        <v>419</v>
      </c>
      <c r="F59" s="7">
        <f>2500*12</f>
        <v>30000</v>
      </c>
      <c r="G59" s="7"/>
      <c r="H59" s="6" t="s">
        <v>420</v>
      </c>
      <c r="I59" s="6"/>
      <c r="J59" s="16"/>
      <c r="K59" s="8">
        <v>45992</v>
      </c>
      <c r="L59" s="8">
        <v>46054</v>
      </c>
      <c r="M59" s="9">
        <v>800</v>
      </c>
      <c r="N59" s="6"/>
      <c r="O59" s="6"/>
      <c r="P59" s="6"/>
      <c r="Q59" s="10"/>
      <c r="R59" s="6" t="s">
        <v>421</v>
      </c>
      <c r="S59" s="6" t="s">
        <v>422</v>
      </c>
      <c r="T59" s="6"/>
      <c r="U59" s="6"/>
      <c r="V59" s="6"/>
      <c r="W59" s="6"/>
      <c r="X59" s="6"/>
    </row>
    <row r="60" spans="1:24" ht="18" customHeight="1" x14ac:dyDescent="0.25">
      <c r="A60" s="6" t="s">
        <v>423</v>
      </c>
      <c r="B60" s="6" t="s">
        <v>32</v>
      </c>
      <c r="C60" s="6"/>
      <c r="D60" s="6" t="s">
        <v>424</v>
      </c>
      <c r="E60" s="6" t="s">
        <v>301</v>
      </c>
      <c r="F60" s="7">
        <v>90000</v>
      </c>
      <c r="G60" s="7"/>
      <c r="H60" s="6"/>
      <c r="I60" s="6" t="s">
        <v>425</v>
      </c>
      <c r="J60" s="11" t="s">
        <v>426</v>
      </c>
      <c r="K60" s="8">
        <v>46042</v>
      </c>
      <c r="L60" s="8">
        <v>47138</v>
      </c>
      <c r="M60" s="9">
        <v>589.02</v>
      </c>
      <c r="N60" s="6" t="s">
        <v>427</v>
      </c>
      <c r="O60" s="6" t="s">
        <v>428</v>
      </c>
      <c r="P60" s="6"/>
      <c r="Q60" s="10" t="s">
        <v>429</v>
      </c>
      <c r="R60" s="6"/>
      <c r="S60" s="6"/>
      <c r="T60" s="6"/>
      <c r="U60" s="6">
        <v>311531633</v>
      </c>
      <c r="V60" s="6" t="s">
        <v>430</v>
      </c>
      <c r="W60" s="6"/>
      <c r="X60" s="6"/>
    </row>
    <row r="61" spans="1:24" ht="18" customHeight="1" x14ac:dyDescent="0.25">
      <c r="A61" s="6" t="s">
        <v>431</v>
      </c>
      <c r="B61" s="6" t="s">
        <v>32</v>
      </c>
      <c r="C61" s="6"/>
      <c r="D61" s="6" t="s">
        <v>432</v>
      </c>
      <c r="E61" s="6" t="s">
        <v>275</v>
      </c>
      <c r="F61" s="7">
        <v>90000</v>
      </c>
      <c r="G61" s="7"/>
      <c r="H61" s="6"/>
      <c r="I61" s="6" t="s">
        <v>433</v>
      </c>
      <c r="J61" s="11" t="s">
        <v>434</v>
      </c>
      <c r="K61" s="8">
        <v>46058</v>
      </c>
      <c r="L61" s="8">
        <v>47154</v>
      </c>
      <c r="M61" s="9">
        <v>544.29</v>
      </c>
      <c r="N61" s="6"/>
      <c r="O61" s="6" t="s">
        <v>435</v>
      </c>
      <c r="P61" s="6"/>
      <c r="Q61" s="10" t="s">
        <v>436</v>
      </c>
      <c r="R61" s="6"/>
      <c r="S61" s="6"/>
      <c r="T61" s="6"/>
      <c r="U61" s="6">
        <v>311531633</v>
      </c>
      <c r="V61" s="6" t="s">
        <v>437</v>
      </c>
      <c r="W61" s="6"/>
      <c r="X61" s="6"/>
    </row>
    <row r="62" spans="1:24" ht="18" customHeight="1" x14ac:dyDescent="0.25">
      <c r="A62" s="6" t="s">
        <v>438</v>
      </c>
      <c r="B62" s="6" t="s">
        <v>32</v>
      </c>
      <c r="C62" s="6"/>
      <c r="D62" s="6" t="s">
        <v>439</v>
      </c>
      <c r="E62" s="6" t="s">
        <v>301</v>
      </c>
      <c r="F62" s="7">
        <v>90000</v>
      </c>
      <c r="G62" s="7"/>
      <c r="H62" s="6"/>
      <c r="I62" s="6" t="s">
        <v>440</v>
      </c>
      <c r="J62" s="11" t="s">
        <v>441</v>
      </c>
      <c r="K62" s="8">
        <v>46070</v>
      </c>
      <c r="L62" s="8">
        <v>47166</v>
      </c>
      <c r="M62" s="9">
        <v>564.64</v>
      </c>
      <c r="N62" s="6"/>
      <c r="O62" s="6" t="s">
        <v>442</v>
      </c>
      <c r="P62" s="6"/>
      <c r="Q62" s="10" t="s">
        <v>443</v>
      </c>
      <c r="R62" s="6"/>
      <c r="S62" s="6"/>
      <c r="T62" s="6"/>
      <c r="U62" s="6">
        <v>311531633</v>
      </c>
      <c r="V62" s="6" t="s">
        <v>444</v>
      </c>
      <c r="W62" s="6"/>
      <c r="X62" s="6"/>
    </row>
    <row r="63" spans="1:24" ht="18" customHeight="1" x14ac:dyDescent="0.25">
      <c r="A63" s="6" t="s">
        <v>445</v>
      </c>
      <c r="B63" s="6" t="s">
        <v>32</v>
      </c>
      <c r="C63" s="6"/>
      <c r="D63" s="6" t="s">
        <v>446</v>
      </c>
      <c r="E63" s="6" t="s">
        <v>301</v>
      </c>
      <c r="F63" s="7">
        <v>90000</v>
      </c>
      <c r="G63" s="7"/>
      <c r="H63" s="6"/>
      <c r="I63" s="6" t="s">
        <v>447</v>
      </c>
      <c r="J63" s="11" t="s">
        <v>448</v>
      </c>
      <c r="K63" s="8">
        <v>46069</v>
      </c>
      <c r="L63" s="8">
        <v>47165</v>
      </c>
      <c r="M63" s="9">
        <v>564.64</v>
      </c>
      <c r="N63" s="6"/>
      <c r="O63" s="6" t="s">
        <v>449</v>
      </c>
      <c r="P63" s="6"/>
      <c r="Q63" s="10" t="s">
        <v>450</v>
      </c>
      <c r="R63" s="6"/>
      <c r="S63" s="6"/>
      <c r="T63" s="6"/>
      <c r="U63" s="6">
        <v>311531633</v>
      </c>
      <c r="V63" s="6" t="s">
        <v>451</v>
      </c>
      <c r="W63" s="6"/>
      <c r="X63" s="6"/>
    </row>
    <row r="64" spans="1:24" ht="18" customHeight="1" x14ac:dyDescent="0.25">
      <c r="A64" s="6" t="s">
        <v>452</v>
      </c>
      <c r="B64" s="6" t="s">
        <v>32</v>
      </c>
      <c r="C64" s="6"/>
      <c r="D64" s="6" t="s">
        <v>453</v>
      </c>
      <c r="E64" s="6" t="s">
        <v>301</v>
      </c>
      <c r="F64" s="7">
        <v>90000</v>
      </c>
      <c r="G64" s="7"/>
      <c r="H64" s="6"/>
      <c r="I64" s="6" t="s">
        <v>454</v>
      </c>
      <c r="J64" s="11" t="s">
        <v>455</v>
      </c>
      <c r="K64" s="8">
        <v>46079</v>
      </c>
      <c r="L64" s="8">
        <v>47175</v>
      </c>
      <c r="M64" s="9">
        <v>564.64</v>
      </c>
      <c r="N64" s="6"/>
      <c r="O64" s="6" t="s">
        <v>456</v>
      </c>
      <c r="P64" s="6"/>
      <c r="Q64" s="10" t="s">
        <v>457</v>
      </c>
      <c r="R64" s="6"/>
      <c r="S64" s="6"/>
      <c r="T64" s="6"/>
      <c r="U64" s="6">
        <v>311531633</v>
      </c>
      <c r="V64" s="6" t="s">
        <v>458</v>
      </c>
      <c r="W64" s="6"/>
      <c r="X64" s="6"/>
    </row>
    <row r="65" spans="1:24" ht="18" customHeight="1" x14ac:dyDescent="0.25">
      <c r="A65" s="6" t="s">
        <v>459</v>
      </c>
      <c r="B65" s="6" t="s">
        <v>32</v>
      </c>
      <c r="C65" s="6"/>
      <c r="D65" s="6" t="s">
        <v>460</v>
      </c>
      <c r="E65" s="6" t="s">
        <v>461</v>
      </c>
      <c r="F65" s="7">
        <v>90000</v>
      </c>
      <c r="G65" s="7"/>
      <c r="H65" s="6"/>
      <c r="I65" s="6" t="s">
        <v>462</v>
      </c>
      <c r="J65" s="11" t="s">
        <v>463</v>
      </c>
      <c r="K65" s="8">
        <v>46101</v>
      </c>
      <c r="L65" s="8">
        <v>47197</v>
      </c>
      <c r="M65" s="9">
        <v>564.64</v>
      </c>
      <c r="N65" s="6"/>
      <c r="O65" s="6" t="s">
        <v>464</v>
      </c>
      <c r="P65" s="6"/>
      <c r="Q65" s="10" t="s">
        <v>465</v>
      </c>
      <c r="R65" s="6"/>
      <c r="S65" s="6"/>
      <c r="T65" s="6"/>
      <c r="U65" s="6">
        <v>311531633</v>
      </c>
      <c r="V65" s="6" t="s">
        <v>466</v>
      </c>
      <c r="W65" s="6"/>
      <c r="X65" s="6"/>
    </row>
    <row r="66" spans="1:24" ht="18" customHeight="1" x14ac:dyDescent="0.25">
      <c r="A66" s="6" t="s">
        <v>467</v>
      </c>
      <c r="B66" s="6" t="s">
        <v>32</v>
      </c>
      <c r="C66" s="6"/>
      <c r="D66" s="6" t="s">
        <v>468</v>
      </c>
      <c r="E66" s="6" t="s">
        <v>461</v>
      </c>
      <c r="F66" s="7">
        <v>90000</v>
      </c>
      <c r="G66" s="7"/>
      <c r="H66" s="6"/>
      <c r="I66" s="6" t="s">
        <v>469</v>
      </c>
      <c r="J66" s="11" t="s">
        <v>470</v>
      </c>
      <c r="K66" s="8">
        <v>46101</v>
      </c>
      <c r="L66" s="8">
        <v>47197</v>
      </c>
      <c r="M66" s="9">
        <v>564.64</v>
      </c>
      <c r="N66" s="6"/>
      <c r="O66" s="6" t="s">
        <v>471</v>
      </c>
      <c r="P66" s="6"/>
      <c r="Q66" s="10" t="s">
        <v>472</v>
      </c>
      <c r="R66" s="6"/>
      <c r="S66" s="6"/>
      <c r="T66" s="6"/>
      <c r="U66" s="6">
        <v>311531633</v>
      </c>
      <c r="V66" s="6" t="s">
        <v>473</v>
      </c>
      <c r="W66" s="6"/>
      <c r="X66" s="6"/>
    </row>
    <row r="67" spans="1:24" ht="18" customHeight="1" x14ac:dyDescent="0.25">
      <c r="A67" s="6" t="s">
        <v>474</v>
      </c>
      <c r="B67" s="6" t="s">
        <v>177</v>
      </c>
      <c r="C67" s="6"/>
      <c r="D67" s="6" t="s">
        <v>475</v>
      </c>
      <c r="E67" s="6" t="s">
        <v>476</v>
      </c>
      <c r="F67" s="7">
        <f>55000*2</f>
        <v>110000</v>
      </c>
      <c r="G67" s="7"/>
      <c r="H67" s="6"/>
      <c r="I67" s="6" t="s">
        <v>477</v>
      </c>
      <c r="J67" s="11" t="s">
        <v>478</v>
      </c>
      <c r="K67" s="8">
        <v>46115</v>
      </c>
      <c r="L67" s="8">
        <v>46847</v>
      </c>
      <c r="M67" s="9">
        <v>1210</v>
      </c>
      <c r="N67" s="6" t="s">
        <v>477</v>
      </c>
      <c r="O67" s="6" t="s">
        <v>479</v>
      </c>
      <c r="P67" s="6"/>
      <c r="Q67" s="10" t="s">
        <v>480</v>
      </c>
      <c r="R67" s="6"/>
      <c r="S67" s="6"/>
      <c r="T67" s="6"/>
      <c r="U67" s="6">
        <v>311531633</v>
      </c>
      <c r="V67" s="6" t="s">
        <v>481</v>
      </c>
      <c r="W67" s="6"/>
      <c r="X67" s="6" t="s">
        <v>482</v>
      </c>
    </row>
  </sheetData>
  <pageMargins left="0.75" right="0.75" top="1" bottom="1" header="0.5" footer="0.5"/>
  <pageSetup paperSize="9" orientation="portrait" r:id="rId1"/>
  <ignoredErrors>
    <ignoredError sqref="F37 J34:J50 J54 J56 J59 J60:J67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Parco 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Ranalletta</cp:lastModifiedBy>
  <dcterms:created xsi:type="dcterms:W3CDTF">2026-04-22T10:44:04Z</dcterms:created>
  <dcterms:modified xsi:type="dcterms:W3CDTF">2026-05-07T20:23:31Z</dcterms:modified>
</cp:coreProperties>
</file>